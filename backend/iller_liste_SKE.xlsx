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e çalışma tablosu" sheetId="1" state="visible" r:id="rId3"/>
    <sheet name="ŞUBAT 26 BÖLGE PROJE RAPORU" sheetId="2" state="visible" r:id="rId4"/>
    <sheet name="CİNSİYET EŞİTLİĞİ RAPORU" sheetId="3" state="visible" r:id="rId5"/>
    <sheet name="Sheet3" sheetId="4" state="visible" r:id="rId6"/>
  </sheets>
  <definedNames>
    <definedName function="false" hidden="true" localSheetId="2" name="_xlnm._FilterDatabase" vbProcedure="false">'CİNSİYET EŞİTLİĞİ RAPORU'!$B$1:$B$83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<sst xmlns="http://schemas.openxmlformats.org/spreadsheetml/2006/main" count="1222" uniqueCount="303">
  <si>
    <t xml:space="preserve">sıra</t>
  </si>
  <si>
    <t xml:space="preserve">il</t>
  </si>
  <si>
    <t xml:space="preserve">id</t>
  </si>
  <si>
    <t xml:space="preserve">SANAYİDE KADIN ELİ PROJESİ</t>
  </si>
  <si>
    <t xml:space="preserve">BAŞLAMA YILI</t>
  </si>
  <si>
    <t xml:space="preserve">CİNSİYET EŞİTLİĞİ</t>
  </si>
  <si>
    <t xml:space="preserve">BÖLGE </t>
  </si>
  <si>
    <t xml:space="preserve">MESLEK LİSELERİ</t>
  </si>
  <si>
    <t xml:space="preserve">ÜNİVERSİTELER</t>
  </si>
  <si>
    <t xml:space="preserve">Ankara</t>
  </si>
  <si>
    <t xml:space="preserve">TR06</t>
  </si>
  <si>
    <t xml:space="preserve">Aktif</t>
  </si>
  <si>
    <t xml:space="preserve">ANKARA</t>
  </si>
  <si>
    <t xml:space="preserve">curl -X POST 127.0.0.1:8090/api/collections/provinces/records -d '{</t>
  </si>
  <si>
    <t xml:space="preserve">}' -H 'Content-Type: application/json' &amp;&amp;</t>
  </si>
  <si>
    <t xml:space="preserve">Afyonkarahisar</t>
  </si>
  <si>
    <t xml:space="preserve">TR03</t>
  </si>
  <si>
    <t xml:space="preserve">BATI AKDENİZ</t>
  </si>
  <si>
    <t xml:space="preserve">Antalya</t>
  </si>
  <si>
    <t xml:space="preserve">TR07</t>
  </si>
  <si>
    <t xml:space="preserve">Burdur</t>
  </si>
  <si>
    <t xml:space="preserve">TR15</t>
  </si>
  <si>
    <t xml:space="preserve">Planlıyor</t>
  </si>
  <si>
    <t xml:space="preserve">Isparta</t>
  </si>
  <si>
    <t xml:space="preserve">TR32</t>
  </si>
  <si>
    <t xml:space="preserve">Bolu</t>
  </si>
  <si>
    <t xml:space="preserve">TR14</t>
  </si>
  <si>
    <t xml:space="preserve">BATI KARADENİZ</t>
  </si>
  <si>
    <t xml:space="preserve">Çorum</t>
  </si>
  <si>
    <t xml:space="preserve">TR19</t>
  </si>
  <si>
    <t xml:space="preserve">Düzce</t>
  </si>
  <si>
    <t xml:space="preserve">TR81</t>
  </si>
  <si>
    <t xml:space="preserve">Samsun</t>
  </si>
  <si>
    <t xml:space="preserve">TR55</t>
  </si>
  <si>
    <t xml:space="preserve">Tokat</t>
  </si>
  <si>
    <t xml:space="preserve">TR60</t>
  </si>
  <si>
    <t xml:space="preserve">Zonguldak</t>
  </si>
  <si>
    <t xml:space="preserve">TR67</t>
  </si>
  <si>
    <t xml:space="preserve">Bartın</t>
  </si>
  <si>
    <t xml:space="preserve">TR74</t>
  </si>
  <si>
    <t xml:space="preserve">Amasya</t>
  </si>
  <si>
    <t xml:space="preserve">TR05</t>
  </si>
  <si>
    <t xml:space="preserve">Yok</t>
  </si>
  <si>
    <t xml:space="preserve">Sinop</t>
  </si>
  <si>
    <t xml:space="preserve">TR57</t>
  </si>
  <si>
    <t xml:space="preserve">Kastamonu</t>
  </si>
  <si>
    <t xml:space="preserve">TR37</t>
  </si>
  <si>
    <t xml:space="preserve">Karabük</t>
  </si>
  <si>
    <t xml:space="preserve">TR78</t>
  </si>
  <si>
    <t xml:space="preserve">Hatay</t>
  </si>
  <si>
    <t xml:space="preserve">TR31</t>
  </si>
  <si>
    <t xml:space="preserve">DOĞU AKDENİZ</t>
  </si>
  <si>
    <t xml:space="preserve">K. Maraş</t>
  </si>
  <si>
    <t xml:space="preserve">TR46</t>
  </si>
  <si>
    <t xml:space="preserve">Mersin</t>
  </si>
  <si>
    <t xml:space="preserve">TR33</t>
  </si>
  <si>
    <t xml:space="preserve">Adana</t>
  </si>
  <si>
    <t xml:space="preserve">TR01</t>
  </si>
  <si>
    <t xml:space="preserve">Osmaniye</t>
  </si>
  <si>
    <t xml:space="preserve">TR80</t>
  </si>
  <si>
    <t xml:space="preserve">Erzurum</t>
  </si>
  <si>
    <t xml:space="preserve">TR25</t>
  </si>
  <si>
    <t xml:space="preserve">DOĞU ANADOLU</t>
  </si>
  <si>
    <t xml:space="preserve">Kars</t>
  </si>
  <si>
    <t xml:space="preserve">TR36</t>
  </si>
  <si>
    <t xml:space="preserve">Elazığ</t>
  </si>
  <si>
    <t xml:space="preserve">TR23</t>
  </si>
  <si>
    <t xml:space="preserve">Erzincan</t>
  </si>
  <si>
    <t xml:space="preserve">TR24</t>
  </si>
  <si>
    <t xml:space="preserve">Hakkari</t>
  </si>
  <si>
    <t xml:space="preserve">TR30</t>
  </si>
  <si>
    <t xml:space="preserve">Tunceli</t>
  </si>
  <si>
    <t xml:space="preserve">TR62</t>
  </si>
  <si>
    <t xml:space="preserve">Van</t>
  </si>
  <si>
    <t xml:space="preserve">TR65</t>
  </si>
  <si>
    <t xml:space="preserve">Ağrı</t>
  </si>
  <si>
    <t xml:space="preserve">TR04</t>
  </si>
  <si>
    <t xml:space="preserve">Ardahan</t>
  </si>
  <si>
    <t xml:space="preserve">TR75</t>
  </si>
  <si>
    <t xml:space="preserve">Bingöl</t>
  </si>
  <si>
    <t xml:space="preserve">TR12</t>
  </si>
  <si>
    <t xml:space="preserve">Bitlis</t>
  </si>
  <si>
    <t xml:space="preserve">TR13</t>
  </si>
  <si>
    <t xml:space="preserve">Iğdır</t>
  </si>
  <si>
    <t xml:space="preserve">TR76</t>
  </si>
  <si>
    <t xml:space="preserve">Muş</t>
  </si>
  <si>
    <t xml:space="preserve">TR49</t>
  </si>
  <si>
    <t xml:space="preserve">Ordu</t>
  </si>
  <si>
    <t xml:space="preserve">TR52</t>
  </si>
  <si>
    <t xml:space="preserve">DOĞU KARADENİZ</t>
  </si>
  <si>
    <t xml:space="preserve">Giresun</t>
  </si>
  <si>
    <t xml:space="preserve">TR28</t>
  </si>
  <si>
    <t xml:space="preserve">Gümüşhane</t>
  </si>
  <si>
    <t xml:space="preserve">TR29</t>
  </si>
  <si>
    <t xml:space="preserve">Bayburt</t>
  </si>
  <si>
    <t xml:space="preserve">TR69</t>
  </si>
  <si>
    <t xml:space="preserve">Rize</t>
  </si>
  <si>
    <t xml:space="preserve">TR53</t>
  </si>
  <si>
    <t xml:space="preserve">Trabzon</t>
  </si>
  <si>
    <t xml:space="preserve">TR61</t>
  </si>
  <si>
    <t xml:space="preserve">Artvin</t>
  </si>
  <si>
    <t xml:space="preserve">TR08</t>
  </si>
  <si>
    <t xml:space="preserve">Aydın</t>
  </si>
  <si>
    <t xml:space="preserve">TR09</t>
  </si>
  <si>
    <t xml:space="preserve">EGE BÖLGE</t>
  </si>
  <si>
    <t xml:space="preserve">Kütahya</t>
  </si>
  <si>
    <t xml:space="preserve">TR43</t>
  </si>
  <si>
    <t xml:space="preserve">Uşak</t>
  </si>
  <si>
    <t xml:space="preserve">TR64</t>
  </si>
  <si>
    <t xml:space="preserve">Muğla</t>
  </si>
  <si>
    <t xml:space="preserve">TR48</t>
  </si>
  <si>
    <t xml:space="preserve">Denizli</t>
  </si>
  <si>
    <t xml:space="preserve">TR20</t>
  </si>
  <si>
    <t xml:space="preserve">Manisa</t>
  </si>
  <si>
    <t xml:space="preserve">TR45</t>
  </si>
  <si>
    <t xml:space="preserve">Gaziantep</t>
  </si>
  <si>
    <t xml:space="preserve">TR27</t>
  </si>
  <si>
    <t xml:space="preserve">GÜNEYDOĞU ANADOLU</t>
  </si>
  <si>
    <t xml:space="preserve">Mardin</t>
  </si>
  <si>
    <t xml:space="preserve">TR47</t>
  </si>
  <si>
    <t xml:space="preserve">Şırnak</t>
  </si>
  <si>
    <t xml:space="preserve">TR73</t>
  </si>
  <si>
    <t xml:space="preserve">Şanlıurfa</t>
  </si>
  <si>
    <t xml:space="preserve">TR63</t>
  </si>
  <si>
    <t xml:space="preserve">Adıyaman</t>
  </si>
  <si>
    <t xml:space="preserve">TR02</t>
  </si>
  <si>
    <t xml:space="preserve">Batman</t>
  </si>
  <si>
    <t xml:space="preserve">TR72</t>
  </si>
  <si>
    <t xml:space="preserve">Malatya</t>
  </si>
  <si>
    <t xml:space="preserve">TR44</t>
  </si>
  <si>
    <t xml:space="preserve">Siirt</t>
  </si>
  <si>
    <t xml:space="preserve">TR56</t>
  </si>
  <si>
    <t xml:space="preserve">Kilis</t>
  </si>
  <si>
    <t xml:space="preserve">TR79</t>
  </si>
  <si>
    <t xml:space="preserve">Diyarbakir</t>
  </si>
  <si>
    <t xml:space="preserve">TR21</t>
  </si>
  <si>
    <t xml:space="preserve">Devam Ettirmiyor</t>
  </si>
  <si>
    <t xml:space="preserve">Çankırı</t>
  </si>
  <si>
    <t xml:space="preserve">TR18</t>
  </si>
  <si>
    <t xml:space="preserve">İÇ ANADOLU</t>
  </si>
  <si>
    <t xml:space="preserve">Karaman</t>
  </si>
  <si>
    <t xml:space="preserve">TR70</t>
  </si>
  <si>
    <t xml:space="preserve">Kayseri</t>
  </si>
  <si>
    <t xml:space="preserve">TR38</t>
  </si>
  <si>
    <t xml:space="preserve">Kırıkkale</t>
  </si>
  <si>
    <t xml:space="preserve">TR71</t>
  </si>
  <si>
    <t xml:space="preserve">Konya</t>
  </si>
  <si>
    <t xml:space="preserve">TR42</t>
  </si>
  <si>
    <t xml:space="preserve">Niğde</t>
  </si>
  <si>
    <t xml:space="preserve">TR51</t>
  </si>
  <si>
    <t xml:space="preserve">Sivas</t>
  </si>
  <si>
    <t xml:space="preserve">TR58</t>
  </si>
  <si>
    <t xml:space="preserve">Yozgat</t>
  </si>
  <si>
    <t xml:space="preserve">TR66</t>
  </si>
  <si>
    <t xml:space="preserve">Aksaray</t>
  </si>
  <si>
    <t xml:space="preserve">TR68</t>
  </si>
  <si>
    <t xml:space="preserve">Eskişehir</t>
  </si>
  <si>
    <t xml:space="preserve">TR26</t>
  </si>
  <si>
    <t xml:space="preserve">Kırşehir</t>
  </si>
  <si>
    <t xml:space="preserve">TR40</t>
  </si>
  <si>
    <t xml:space="preserve">Nevşehir</t>
  </si>
  <si>
    <t xml:space="preserve">TR50</t>
  </si>
  <si>
    <t xml:space="preserve">İstanbul</t>
  </si>
  <si>
    <t xml:space="preserve">TR34</t>
  </si>
  <si>
    <t xml:space="preserve">İSTANBUL</t>
  </si>
  <si>
    <t xml:space="preserve">İzmir</t>
  </si>
  <si>
    <t xml:space="preserve">TR35</t>
  </si>
  <si>
    <t xml:space="preserve">İZMİR</t>
  </si>
  <si>
    <t xml:space="preserve">Balıkesir</t>
  </si>
  <si>
    <t xml:space="preserve">TR10</t>
  </si>
  <si>
    <t xml:space="preserve">MARMARA</t>
  </si>
  <si>
    <t xml:space="preserve">Bilecik</t>
  </si>
  <si>
    <t xml:space="preserve">TR11</t>
  </si>
  <si>
    <t xml:space="preserve">Bursa</t>
  </si>
  <si>
    <t xml:space="preserve">TR16</t>
  </si>
  <si>
    <t xml:space="preserve">Kocaeli</t>
  </si>
  <si>
    <t xml:space="preserve">TR41</t>
  </si>
  <si>
    <t xml:space="preserve">Sakarya</t>
  </si>
  <si>
    <t xml:space="preserve">TR54</t>
  </si>
  <si>
    <t xml:space="preserve">Yalova</t>
  </si>
  <si>
    <t xml:space="preserve">TR77</t>
  </si>
  <si>
    <t xml:space="preserve">Kırklareli</t>
  </si>
  <si>
    <t xml:space="preserve">TR39</t>
  </si>
  <si>
    <t xml:space="preserve">TRAKYA</t>
  </si>
  <si>
    <t xml:space="preserve">Edirne</t>
  </si>
  <si>
    <t xml:space="preserve">TR22</t>
  </si>
  <si>
    <t xml:space="preserve">Çanakkale</t>
  </si>
  <si>
    <t xml:space="preserve">TR17</t>
  </si>
  <si>
    <t xml:space="preserve">Tekirdağ</t>
  </si>
  <si>
    <t xml:space="preserve">TR59</t>
  </si>
  <si>
    <t xml:space="preserve">KGK ORTAK PROJELER</t>
  </si>
  <si>
    <t xml:space="preserve">BÖLGE</t>
  </si>
  <si>
    <t xml:space="preserve">İL</t>
  </si>
  <si>
    <t xml:space="preserve">İŞİMİZ TEMİZ</t>
  </si>
  <si>
    <t xml:space="preserve">SANAYİDE KADIN ELİ</t>
  </si>
  <si>
    <t xml:space="preserve">YÜKSELEN MARKALAR</t>
  </si>
  <si>
    <t xml:space="preserve">TURİZMDE KADIN ELİ</t>
  </si>
  <si>
    <t xml:space="preserve">MESLEK LİSELERİ VE ÜNİVERSİTELER İLE İŞBİRLİĞİ</t>
  </si>
  <si>
    <t xml:space="preserve">ÜNİVERSİTELERDE GİRİŞİMCİ KADIN KULÜPLERİ KURULMASI</t>
  </si>
  <si>
    <t xml:space="preserve">TARIMDA KADIN ELİ</t>
  </si>
  <si>
    <t xml:space="preserve">X</t>
  </si>
  <si>
    <t xml:space="preserve">AFYONKARAHİSAR</t>
  </si>
  <si>
    <t xml:space="preserve">PLANLANIYOR-2026 HAZİRAN</t>
  </si>
  <si>
    <t xml:space="preserve">ANTALYA</t>
  </si>
  <si>
    <t xml:space="preserve">BURDUR</t>
  </si>
  <si>
    <t xml:space="preserve">PLANLANIYOR</t>
  </si>
  <si>
    <t xml:space="preserve">ISPARTA</t>
  </si>
  <si>
    <t xml:space="preserve">PLANLANIYOR-2026 EYLÜL</t>
  </si>
  <si>
    <t xml:space="preserve">AMASYA</t>
  </si>
  <si>
    <t xml:space="preserve">BARTIN</t>
  </si>
  <si>
    <t xml:space="preserve">BOLU</t>
  </si>
  <si>
    <t xml:space="preserve">ÇORUM</t>
  </si>
  <si>
    <t xml:space="preserve">PLANLANIYOR </t>
  </si>
  <si>
    <t xml:space="preserve">DÜZCE</t>
  </si>
  <si>
    <t xml:space="preserve">KARABÜK</t>
  </si>
  <si>
    <t xml:space="preserve">KASTAMONU</t>
  </si>
  <si>
    <t xml:space="preserve">SAMSUN</t>
  </si>
  <si>
    <t xml:space="preserve">SİNOP</t>
  </si>
  <si>
    <t xml:space="preserve">X </t>
  </si>
  <si>
    <t xml:space="preserve">TOKAT</t>
  </si>
  <si>
    <t xml:space="preserve">ZONGULDAK</t>
  </si>
  <si>
    <t xml:space="preserve">ADANA</t>
  </si>
  <si>
    <t xml:space="preserve">HATAY</t>
  </si>
  <si>
    <t xml:space="preserve">KAHRAMANMARAŞ</t>
  </si>
  <si>
    <t xml:space="preserve">MERSİN</t>
  </si>
  <si>
    <t xml:space="preserve">OSMANİYE</t>
  </si>
  <si>
    <t xml:space="preserve">AĞRI</t>
  </si>
  <si>
    <t xml:space="preserve">ARDAHAN</t>
  </si>
  <si>
    <t xml:space="preserve">BİNGÖL</t>
  </si>
  <si>
    <t xml:space="preserve">BİTLİS</t>
  </si>
  <si>
    <t xml:space="preserve">ELAZIĞ</t>
  </si>
  <si>
    <t xml:space="preserve">ERZİNCAN</t>
  </si>
  <si>
    <t xml:space="preserve">ERZURUM</t>
  </si>
  <si>
    <t xml:space="preserve">HAKKARİ</t>
  </si>
  <si>
    <t xml:space="preserve">IĞDIR</t>
  </si>
  <si>
    <t xml:space="preserve">KARS</t>
  </si>
  <si>
    <t xml:space="preserve">MUŞ</t>
  </si>
  <si>
    <t xml:space="preserve">TUNCELİ</t>
  </si>
  <si>
    <t xml:space="preserve">VAN</t>
  </si>
  <si>
    <t xml:space="preserve">ARTVİN</t>
  </si>
  <si>
    <t xml:space="preserve">BAYBURT</t>
  </si>
  <si>
    <t xml:space="preserve">GİRESUN</t>
  </si>
  <si>
    <t xml:space="preserve">GÜMÜŞHANE</t>
  </si>
  <si>
    <t xml:space="preserve">ORDU</t>
  </si>
  <si>
    <t xml:space="preserve">RİZE</t>
  </si>
  <si>
    <t xml:space="preserve">TRABZON</t>
  </si>
  <si>
    <t xml:space="preserve">EGE</t>
  </si>
  <si>
    <t xml:space="preserve">AYDIN</t>
  </si>
  <si>
    <t xml:space="preserve">DENİZLİ</t>
  </si>
  <si>
    <t xml:space="preserve">KÜTAHYA</t>
  </si>
  <si>
    <t xml:space="preserve">MANİSA</t>
  </si>
  <si>
    <t xml:space="preserve">MUĞLA</t>
  </si>
  <si>
    <t xml:space="preserve">UŞAK</t>
  </si>
  <si>
    <t xml:space="preserve">GD ANADOLU</t>
  </si>
  <si>
    <t xml:space="preserve">ADIYAMAN</t>
  </si>
  <si>
    <t xml:space="preserve">BATMAN</t>
  </si>
  <si>
    <t xml:space="preserve">DİYARBAKIR</t>
  </si>
  <si>
    <t xml:space="preserve">GAZİANTEP</t>
  </si>
  <si>
    <t xml:space="preserve">KİLİS</t>
  </si>
  <si>
    <t xml:space="preserve">MALATYA</t>
  </si>
  <si>
    <t xml:space="preserve">MARDİN</t>
  </si>
  <si>
    <t xml:space="preserve">ŞANLIURFA</t>
  </si>
  <si>
    <t xml:space="preserve">SİİRT</t>
  </si>
  <si>
    <t xml:space="preserve">ŞIRNAK</t>
  </si>
  <si>
    <t xml:space="preserve">AKSARAY</t>
  </si>
  <si>
    <t xml:space="preserve">ÇANKIRI</t>
  </si>
  <si>
    <t xml:space="preserve">ESKİŞEHİR</t>
  </si>
  <si>
    <t xml:space="preserve">KARAMAN</t>
  </si>
  <si>
    <t xml:space="preserve">KAYSERİ</t>
  </si>
  <si>
    <t xml:space="preserve">KIRIKKALE</t>
  </si>
  <si>
    <t xml:space="preserve">KIRŞEHİR</t>
  </si>
  <si>
    <t xml:space="preserve">KONYA</t>
  </si>
  <si>
    <t xml:space="preserve">NEVŞEHİR</t>
  </si>
  <si>
    <t xml:space="preserve">NİĞDE</t>
  </si>
  <si>
    <t xml:space="preserve">SİVAS</t>
  </si>
  <si>
    <t xml:space="preserve">YOZGAT</t>
  </si>
  <si>
    <t xml:space="preserve">x</t>
  </si>
  <si>
    <t xml:space="preserve">BALIKESİR</t>
  </si>
  <si>
    <t xml:space="preserve">BİLECİK</t>
  </si>
  <si>
    <t xml:space="preserve">BURSA</t>
  </si>
  <si>
    <t xml:space="preserve">KOCAELİ</t>
  </si>
  <si>
    <t xml:space="preserve"> </t>
  </si>
  <si>
    <t xml:space="preserve">SAKARYA</t>
  </si>
  <si>
    <t xml:space="preserve">YALOVA</t>
  </si>
  <si>
    <t xml:space="preserve">ÇANAKKALE</t>
  </si>
  <si>
    <t xml:space="preserve">EDİRNE</t>
  </si>
  <si>
    <t xml:space="preserve">KIRKLARELİ</t>
  </si>
  <si>
    <t xml:space="preserve">TEKİRDAĞ</t>
  </si>
  <si>
    <t xml:space="preserve">CİNSİYET EŞİTLİĞİ SIRALMASI</t>
  </si>
  <si>
    <t xml:space="preserve">SIRA</t>
  </si>
  <si>
    <t xml:space="preserve">2015 YILI </t>
  </si>
  <si>
    <t xml:space="preserve">2017 YILI</t>
  </si>
  <si>
    <t xml:space="preserve">2019 YILI </t>
  </si>
  <si>
    <t xml:space="preserve">2023 yılı</t>
  </si>
  <si>
    <t xml:space="preserve">GÜMÜHANE</t>
  </si>
  <si>
    <t xml:space="preserve">İSPARTA</t>
  </si>
  <si>
    <t xml:space="preserve">AFYON</t>
  </si>
  <si>
    <t xml:space="preserve">Cinsiyet Eşitliği Sıralaması (Alfabetik Sıralı)</t>
  </si>
  <si>
    <t xml:space="preserve">İl</t>
  </si>
  <si>
    <t xml:space="preserve">2023 Sıralaması</t>
  </si>
  <si>
    <t xml:space="preserve">2019 Sıralaması</t>
  </si>
  <si>
    <t xml:space="preserve">—</t>
  </si>
  <si>
    <t xml:space="preserve">Bu tabloyu istersen bölgesel analizle ya da değişim oranlarıyla da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</si>
</sst>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2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sz val="12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2"/>
      <color theme="1"/>
      <name val="Aptos Narrow"/>
      <family val="0"/>
      <charset val="1"/>
    </font>
    <font>
      <b val="true"/>
      <sz val="12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2"/>
      <color rgb="FFFF0000"/>
      <name val="Aptos Narrow"/>
      <family val="2"/>
      <charset val="1"/>
    </font>
    <font>
      <i val="true"/>
      <sz val="12"/>
      <color theme="1"/>
      <name val="Aptos Narrow"/>
      <family val="2"/>
      <charset val="1"/>
    </font>
    <font>
      <sz val="11"/>
      <name val="Aptos Narrow"/>
      <family val="2"/>
      <charset val="162"/>
    </font>
    <font>
      <sz val="12"/>
      <name val="Calibri"/>
      <family val="2"/>
      <charset val="162"/>
    </font>
    <font>
      <sz val="12"/>
      <color theme="1"/>
      <name val="Aptos Narrow"/>
      <family val="2"/>
      <charset val="162"/>
    </font>
    <font>
      <sz val="12"/>
      <name val="Aptos Narrow"/>
      <family val="2"/>
      <charset val="162"/>
    </font>
    <font>
      <sz val="12"/>
      <color rgb="FF000000"/>
      <name val="Calibri"/>
      <family val="2"/>
      <charset val="162"/>
    </font>
    <font>
      <b val="true"/>
      <sz val="11"/>
      <color rgb="FFFF0000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sz val="11"/>
      <color rgb="FF00B050"/>
      <name val="Aptos Narrow"/>
      <family val="2"/>
      <charset val="162"/>
    </font>
    <font>
      <sz val="11"/>
      <color rgb="FFFF0000"/>
      <name val="Aptos Narrow"/>
      <family val="2"/>
      <charset val="162"/>
    </font>
    <font>
      <b val="true"/>
      <sz val="13.5"/>
      <color rgb="FF000000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3999"/>
        <bgColor rgb="FFFF99CC"/>
      </patternFill>
    </fill>
    <fill>
      <patternFill patternType="solid">
        <fgColor theme="7" tint="0.5999"/>
        <bgColor rgb="FFC1E5F5"/>
      </patternFill>
    </fill>
    <fill>
      <patternFill patternType="solid">
        <fgColor theme="8" tint="0.3999"/>
        <bgColor rgb="FFCC99FF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theme="9" tint="0.7999"/>
        <bgColor rgb="FFCAEEFB"/>
      </patternFill>
    </fill>
    <fill>
      <patternFill patternType="solid">
        <fgColor theme="4" tint="0.7999"/>
        <bgColor rgb="FFCAEEFB"/>
      </patternFill>
    </fill>
    <fill>
      <patternFill patternType="solid">
        <fgColor theme="3" tint="0.3999"/>
        <bgColor rgb="FF0066CC"/>
      </patternFill>
    </fill>
    <fill>
      <patternFill patternType="solid">
        <fgColor theme="7" tint="0.7999"/>
        <bgColor rgb="FFC1E5F5"/>
      </patternFill>
    </fill>
    <fill>
      <patternFill patternType="solid">
        <fgColor theme="9" tint="-0.25"/>
        <bgColor rgb="FF008000"/>
      </patternFill>
    </fill>
    <fill>
      <patternFill patternType="solid">
        <fgColor theme="0" tint="-0.25"/>
        <bgColor rgb="FFC1E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FBFBF"/>
      <rgbColor rgb="FF808080"/>
      <rgbColor rgb="FF9999FF"/>
      <rgbColor rgb="FF993366"/>
      <rgbColor rgb="FFFFFFCC"/>
      <rgbColor rgb="FFCAEEFB"/>
      <rgbColor rgb="FF660066"/>
      <rgbColor rgb="FFD86ECC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F2D0"/>
      <rgbColor rgb="FFFFFF99"/>
      <rgbColor rgb="FF96DCF8"/>
      <rgbColor rgb="FFFF99CC"/>
      <rgbColor rgb="FFCC99FF"/>
      <rgbColor rgb="FFF2AA84"/>
      <rgbColor rgb="FF2D7FC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7D2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766800</xdr:colOff>
      <xdr:row>6</xdr:row>
      <xdr:rowOff>113760</xdr:rowOff>
    </xdr:from>
    <xdr:to>
      <xdr:col>3</xdr:col>
      <xdr:colOff>775080</xdr:colOff>
      <xdr:row>6</xdr:row>
      <xdr:rowOff>113760</xdr:rowOff>
    </xdr:to>
    <xdr:pic>
      <xdr:nvPicPr>
        <xdr:cNvPr id="0" name="Ink 2" descr=""/>
        <xdr:cNvPicPr/>
      </xdr:nvPicPr>
      <xdr:blipFill>
        <a:blip r:embed="rId1"/>
        <a:stretch/>
      </xdr:blipFill>
      <xdr:spPr>
        <a:xfrm>
          <a:off x="3713040" y="1694880"/>
          <a:ext cx="828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3</xdr:col>
      <xdr:colOff>1543320</xdr:colOff>
      <xdr:row>48</xdr:row>
      <xdr:rowOff>53280</xdr:rowOff>
    </xdr:from>
    <xdr:to>
      <xdr:col>3</xdr:col>
      <xdr:colOff>1543320</xdr:colOff>
      <xdr:row>48</xdr:row>
      <xdr:rowOff>53280</xdr:rowOff>
    </xdr:to>
    <xdr:pic>
      <xdr:nvPicPr>
        <xdr:cNvPr id="1" name="Ink 3" descr=""/>
        <xdr:cNvPicPr/>
      </xdr:nvPicPr>
      <xdr:blipFill>
        <a:blip r:embed="rId2"/>
        <a:stretch/>
      </xdr:blipFill>
      <xdr:spPr>
        <a:xfrm>
          <a:off x="4489560" y="1043568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834480</xdr:colOff>
      <xdr:row>74</xdr:row>
      <xdr:rowOff>122400</xdr:rowOff>
    </xdr:from>
    <xdr:to>
      <xdr:col>1</xdr:col>
      <xdr:colOff>847800</xdr:colOff>
      <xdr:row>74</xdr:row>
      <xdr:rowOff>122400</xdr:rowOff>
    </xdr:to>
    <xdr:pic>
      <xdr:nvPicPr>
        <xdr:cNvPr id="2" name="Ink 4" descr=""/>
        <xdr:cNvPicPr/>
      </xdr:nvPicPr>
      <xdr:blipFill>
        <a:blip r:embed="rId3"/>
        <a:stretch/>
      </xdr:blipFill>
      <xdr:spPr>
        <a:xfrm>
          <a:off x="1370520" y="16000560"/>
          <a:ext cx="13320" cy="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1:I82" headerRowCount="1" totalsRowCount="0" totalsRowShown="0">
  <autoFilter ref="A1:I82">
    <filterColumn colId="3">
      <filters>
        <filter val="Aktif"/>
      </filters>
    </filterColumn>
  </autoFilter>
  <tableColumns count="9">
    <tableColumn id="1" name="sıra"/>
    <tableColumn id="2" name="il"/>
    <tableColumn id="3" name="id"/>
    <tableColumn id="4" name="SANAYİDE KADIN ELİ PROJESİ"/>
    <tableColumn id="5" name="BAŞLAMA YILI"/>
    <tableColumn id="6" name="CİNSİYET EŞİTLİĞİ"/>
    <tableColumn id="7" name="BÖLGE "/>
    <tableColumn id="8" name="MESLEK LİSELERİ"/>
    <tableColumn id="9" name="ÜNİVERSİTEL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6"/>
  <sheetViews>
    <sheetView showFormulas="false" showGridLines="true" showRowColHeaders="true" showZeros="true" rightToLeft="false" tabSelected="true" showOutlineSymbols="true" defaultGridColor="true" view="normal" topLeftCell="G1" colorId="64" zoomScale="130" zoomScaleNormal="130" zoomScalePageLayoutView="100" workbookViewId="0">
      <selection pane="topLeft" activeCell="P2" activeCellId="0" sqref="P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17.16"/>
    <col collapsed="false" customWidth="true" hidden="false" outlineLevel="0" max="4" min="4" style="1" width="17.77"/>
    <col collapsed="false" customWidth="true" hidden="false" outlineLevel="0" max="6" min="6" style="1" width="11.33"/>
    <col collapsed="false" customWidth="true" hidden="false" outlineLevel="0" max="7" min="7" style="1" width="21.83"/>
    <col collapsed="false" customWidth="true" hidden="false" outlineLevel="0" max="8" min="8" style="1" width="11.83"/>
    <col collapsed="false" customWidth="true" hidden="false" outlineLevel="0" max="9" min="9" style="2" width="10.33"/>
  </cols>
  <sheetData>
    <row r="1" customFormat="false" ht="42.7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.75" hidden="false" customHeight="false" outlineLevel="0" collapsed="false">
      <c r="A2" s="1" t="n">
        <v>15</v>
      </c>
      <c r="B2" s="1" t="s">
        <v>9</v>
      </c>
      <c r="C2" s="1" t="s">
        <v>10</v>
      </c>
      <c r="D2" s="1" t="s">
        <v>11</v>
      </c>
      <c r="E2" s="1" t="n">
        <v>2023</v>
      </c>
      <c r="F2" s="1" t="n">
        <v>16</v>
      </c>
      <c r="G2" s="1" t="s">
        <v>12</v>
      </c>
      <c r="H2" s="1" t="s">
        <v>11</v>
      </c>
      <c r="I2" s="2" t="s">
        <v>11</v>
      </c>
      <c r="J2" s="0" t="s">
        <v>13</v>
      </c>
      <c r="K2" s="0" t="str">
        <f aca="false">_xlfn.CONCAT("""row"":", A2,",""name"":""",B2,""",""trid"":""",C2,""",""ske_status"":""",D2,""",")</f>
        <v>"row":15,"name":"Ankara","trid":"TR06","ske_status":"Aktif",</v>
      </c>
      <c r="L2" s="0" t="str">
        <f aca="false">IF(ISBLANK(E2),"",_xlfn.CONCAT("""start_year"":",E2,","))</f>
        <v>"start_year":2023,</v>
      </c>
      <c r="M2" s="0" t="str">
        <f aca="false">_xlfn.CONCAT("""gender_equality"":",F2,",""region"":""",G2,""",""high_schools"":""",H2,""",""universities"":""",I2,"""")</f>
        <v>"gender_equality":16,"region":"ANKARA","high_schools":"Aktif","universities":"Aktif"</v>
      </c>
      <c r="N2" s="0" t="s">
        <v>14</v>
      </c>
      <c r="O2" s="5" t="str">
        <f aca="false">_xlfn.CONCAT(J2:N2)</f>
        <v>curl -X POST 127.0.0.1:8090/api/collections/provinces/records -d '{"row":15,"name":"Ankara","trid":"TR06","ske_status":"Aktif","start_year":2023,"gender_equality":16,"region":"ANKARA","high_schools":"Aktif","universities":"Aktif"}' -H 'Content-Type: application/json' &amp;&amp;</v>
      </c>
      <c r="P2" s="5" t="str">
        <f aca="false">_xlfn.CONCAT(O2:O82)</f>
        <v>curl -X POST 127.0.0.1:8090/api/collections/provinces/records -d '{"row":15,"name":"Ankara","trid":"TR06","ske_status":"Aktif","start_year":2023,"gender_equality":16,"region":"ANKARA","high_schools":"Aktif","universities":"Aktif"}' -H 'Content-Type: application/json' &amp;&amp;curl -X POST 127.0.0.1:8090/api/collections/provinces/records -d '{"row":38,"name":"Afyonkarahisar","trid":"TR03","ske_status":"Aktif","start_year":2025,"gender_equality":56,"region":"BATI AKDENİZ","high_schools":"Aktif","universities":"Aktif"}' -H 'Content-Type: application/json' &amp;&amp;curl -X POST 127.0.0.1:8090/api/collections/provinces/records -d '{"row":16,"name":"Antalya","trid":"TR07","ske_status":"Aktif","start_year":2024,"gender_equality":14,"region":"BATI AKDENİZ","high_schools":"Aktif","universities":"Aktif"}' -H 'Content-Type: application/json' &amp;&amp;curl -X POST 127.0.0.1:8090/api/collections/provinces/records -d '{"row":49,"name":"Burdur","trid":"TR15","ske_status":"Planlıyor","gender_equality":49,"region":"BATI AKDENİZ","high_schools":"Aktif","universities":"Aktif"}' -H 'Content-Type: application/json' &amp;&amp;curl -X POST 127.0.0.1:8090/api/collections/provinces/records -d '{"row":58,"name":"Isparta","trid":"TR32","ske_status":"Planlıyor","gender_equality":29,"region":"BATI AKDENİZ","high_schools":"Aktif","universities":"Aktif"}' -H 'Content-Type: application/json' &amp;&amp;curl -X POST 127.0.0.1:8090/api/collections/provinces/records -d '{"row":4,"name":"Bolu","trid":"TR14","ske_status":"Aktif","start_year":2022,"gender_equality":34,"region":"BATI KARADENİZ","high_schools":"Aktif","universities":"Aktif"}' -H 'Content-Type: application/json' &amp;&amp;curl -X POST 127.0.0.1:8090/api/collections/provinces/records -d '{"row":7,"name":"Çorum","trid":"TR19","ske_status":"Aktif","start_year":2022,"gender_equality":60,"region":"BATI KARADENİZ","high_schools":"Aktif","universities":"Aktif"}' -H 'Content-Type: application/json' &amp;&amp;curl -X POST 127.0.0.1:8090/api/collections/provinces/records -d '{"row":3,"name":"Düzce","trid":"TR81","ske_status":"Aktif","start_year":2022,"gender_equality":32,"region":"BATI KARADENİZ","high_schools":"Aktif","universities":"Aktif"}' -H 'Content-Type: application/json' &amp;&amp;curl -X POST 127.0.0.1:8090/api/collections/provinces/records -d '{"row":19,"name":"Samsun","trid":"TR55","ske_status":"Aktif","start_year":2024,"gender_equality":25,"region":"BATI KARADENİZ","high_schools":"Aktif","universities":"Aktif"}' -H 'Content-Type: application/json' &amp;&amp;curl -X POST 127.0.0.1:8090/api/collections/provinces/records -d '{"row":27,"name":"Tokat","trid":"TR60","ske_status":"Aktif","start_year":2024,"gender_equality":67,"region":"BATI KARADENİZ","high_schools":"Aktif","universities":"Aktif"}' -H 'Content-Type: application/json' &amp;&amp;curl -X POST 127.0.0.1:8090/api/collections/provinces/records -d '{"row":81,"name":"Zonguldak","trid":"TR67","ske_status":"Aktif","start_year":2025,"gender_equality":35,"region":"BATI KARADENİZ","high_schools":"Aktif","universities":"Aktif"}' -H 'Content-Type: application/json' &amp;&amp;curl -X POST 127.0.0.1:8090/api/collections/provinces/records -d '{"row":44,"name":"Bartın","trid":"TR74","ske_status":"Planlıyor","gender_equality":38,"region":"BATI KARADENİZ","high_schools":"Aktif","universities":"Aktif"}' -H 'Content-Type: application/json' &amp;&amp;curl -X POST 127.0.0.1:8090/api/collections/provinces/records -d '{"row":41,"name":"Amasya","trid":"TR05","ske_status":"Yok","start_year":2025,"gender_equality":58,"region":"BATI KARADENİZ","high_schools":"Aktif","universities":"Aktif"}' -H 'Content-Type: application/json' &amp;&amp;curl -X POST 127.0.0.1:8090/api/collections/provinces/records -d '{"row":75,"name":"Sinop","trid":"TR57","ske_status":"Yok","start_year":2025,"gender_equality":7,"region":"BATI KARADENİZ","high_schools":"Aktif","universities":"Aktif"}' -H 'Content-Type: application/json' &amp;&amp;curl -X POST 127.0.0.1:8090/api/collections/provinces/records -d '{"row":62,"name":"Kastamonu","trid":"TR37","ske_status":"Aktif","start_year":2025,"gender_equality":69,"region":"BATI KARADENİZ","high_schools":"Yok","universities":"Aktif"}' -H 'Content-Type: application/json' &amp;&amp;curl -X POST 127.0.0.1:8090/api/collections/provinces/records -d '{"row":60,"name":"Karabük","trid":"TR78","ske_status":"Yok","start_year":2025,"gender_equality":43,"region":"BATI KARADENİZ","high_schools":"Yok","universities":"Yok"}' -H 'Content-Type: application/json' &amp;&amp;curl -X POST 127.0.0.1:8090/api/collections/provinces/records -d '{"row":29,"name":"Hatay","trid":"TR31","ske_status":"Aktif","start_year":2025,"gender_equality":28,"region":"DOĞU AKDENİZ","high_schools":"Aktif","universities":"Aktif"}' -H 'Content-Type: application/json' &amp;&amp;curl -X POST 127.0.0.1:8090/api/collections/provinces/records -d '{"row":28,"name":"K. Maraş","trid":"TR46","ske_status":"Aktif","start_year":2025,"gender_equality":52,"region":"DOĞU AKDENİZ","high_schools":"Aktif","universities":"Aktif"}' -H 'Content-Type: application/json' &amp;&amp;curl -X POST 127.0.0.1:8090/api/collections/provinces/records -d '{"row":31,"name":"Mersin","trid":"TR33","ske_status":"Aktif","start_year":2025,"gender_equality":11,"region":"DOĞU AKDENİZ","high_schools":"Aktif","universities":"Aktif"}' -H 'Content-Type: application/json' &amp;&amp;curl -X POST 127.0.0.1:8090/api/collections/provinces/records -d '{"row":21,"name":"Adana","trid":"TR01","ske_status":"Aktif","start_year":2024,"gender_equality":22,"region":"DOĞU AKDENİZ","high_schools":"Yok","universities":"Aktif"}' -H 'Content-Type: application/json' &amp;&amp;curl -X POST 127.0.0.1:8090/api/collections/provinces/records -d '{"row":71,"name":"Osmaniye","trid":"TR80","ske_status":"Yok","gender_equality":19,"region":"DOĞU AKDENİZ","high_schools":"Yok","universities":"Aktif"}' -H 'Content-Type: application/json' &amp;&amp;curl -X POST 127.0.0.1:8090/api/collections/provinces/records -d '{"row":18,"name":"Erzurum","trid":"TR25","ske_status":"Aktif","start_year":2024,"gender_equality":72,"region":"DOĞU ANADOLU","high_schools":"Aktif","universities":"Aktif"}' -H 'Content-Type: application/json' &amp;&amp;curl -X POST 127.0.0.1:8090/api/collections/provinces/records -d '{"row":22,"name":"Kars","trid":"TR36","ske_status":"Aktif","start_year":2024,"gender_equality":46,"region":"DOĞU ANADOLU","high_schools":"Aktif","universities":"Aktif"}' -H 'Content-Type: application/json' &amp;&amp;curl -X POST 127.0.0.1:8090/api/collections/provinces/records -d '{"row":52,"name":"Elazığ","trid":"TR23","ske_status":"Yok","gender_equality":62,"region":"DOĞU ANADOLU","high_schools":"Aktif","universities":"Aktif"}' -H 'Content-Type: application/json' &amp;&amp;curl -X POST 127.0.0.1:8090/api/collections/provinces/records -d '{"row":53,"name":"Erzincan","trid":"TR24","ske_status":"Yok","gender_equality":45,"region":"DOĞU ANADOLU","high_schools":"Aktif","universities":"Aktif"}' -H 'Content-Type: application/json' &amp;&amp;curl -X POST 127.0.0.1:8090/api/collections/provinces/records -d '{"row":56,"name":"Hakkari","trid":"TR30","ske_status":"Yok","gender_equality":41,"region":"DOĞU ANADOLU","high_schools":"Aktif","universities":"Aktif"}' -H 'Content-Type: application/json' &amp;&amp;curl -X POST 127.0.0.1:8090/api/collections/provinces/records -d '{"row":78,"name":"Tunceli","trid":"TR62","ske_status":"Yok","gender_equality":8,"region":"DOĞU ANADOLU","high_schools":"Aktif","universities":"Aktif"}' -H 'Content-Type: application/json' &amp;&amp;curl -X POST 127.0.0.1:8090/api/collections/provinces/records -d '{"row":79,"name":"Van","trid":"TR65","ske_status":"Yok","gender_equality":40,"region":"DOĞU ANADOLU","high_schools":"Aktif","universities":"Aktif"}' -H 'Content-Type: application/json' &amp;&amp;curl -X POST 127.0.0.1:8090/api/collections/provinces/records -d '{"row":39,"name":"Ağrı","trid":"TR04","ske_status":"Yok","gender_equality":57,"region":"DOĞU ANADOLU","high_schools":"Yok","universities":"Aktif"}' -H 'Content-Type: application/json' &amp;&amp;curl -X POST 127.0.0.1:8090/api/collections/provinces/records -d '{"row":42,"name":"Ardahan","trid":"TR75","ske_status":"Yok","gender_equality":71,"region":"DOĞU ANADOLU","high_schools":"Yok","universities":"Aktif"}' -H 'Content-Type: application/json' &amp;&amp;curl -X POST 127.0.0.1:8090/api/collections/provinces/records -d '{"row":47,"name":"Bingöl","trid":"TR12","ske_status":"Yok","gender_equality":80,"region":"DOĞU ANADOLU","high_schools":"Yok","universities":"Aktif"}' -H 'Content-Type: application/json' &amp;&amp;curl -X POST 127.0.0.1:8090/api/collections/provinces/records -d '{"row":48,"name":"Bitlis","trid":"TR13","ske_status":"Aktif","gender_equality":76,"region":"DOĞU ANADOLU","high_schools":"Aktif","universities":"Aktif"}' -H 'Content-Type: application/json' &amp;&amp;curl -X POST 127.0.0.1:8090/api/collections/provinces/records -d '{"row":57,"name":"Iğdır","trid":"TR76","ske_status":"Yok","gender_equality":13,"region":"DOĞU ANADOLU","high_schools":"Yok","universities":"Aktif"}' -H 'Content-Type: application/json' &amp;&amp;curl -X POST 127.0.0.1:8090/api/collections/provinces/records -d '{"row":69,"name":"Muş","trid":"TR49","ske_status":"Yok","gender_equality":81,"region":"DOĞU ANADOLU","high_schools":"Yok","universities":"Aktif"}' -H 'Content-Type: application/json' &amp;&amp;curl -X POST 127.0.0.1:8090/api/collections/provinces/records -d '{"row":20,"name":"Ordu","trid":"TR52","ske_status":"Aktif","start_year":2025,"gender_equality":24,"region":"DOĞU KARADENİZ","high_schools":"Aktif","universities":"Aktif"}' -H 'Content-Type: application/json' &amp;&amp;curl -X POST 127.0.0.1:8090/api/collections/provinces/records -d '{"row":54,"name":"Giresun","trid":"TR28","ske_status":"Planlıyor","gender_equality":44,"region":"DOĞU KARADENİZ","high_schools":"Aktif","universities":"Aktif"}' -H 'Content-Type: application/json' &amp;&amp;curl -X POST 127.0.0.1:8090/api/collections/provinces/records -d '{"row":55,"name":"Gümüşhane","trid":"TR29","ske_status":"Planlıyor","start_year":2025,"gender_equality":21,"region":"DOĞU KARADENİZ","high_schools":"Aktif","universities":"Aktif"}' -H 'Content-Type: application/json' &amp;&amp;curl -X POST 127.0.0.1:8090/api/collections/provinces/records -d '{"row":46,"name":"Bayburt","trid":"TR69","ske_status":"Yok","start_year":2025,"gender_equality":79,"region":"DOĞU KARADENİZ","high_schools":"Aktif","universities":"Aktif"}' -H 'Content-Type: application/json' &amp;&amp;curl -X POST 127.0.0.1:8090/api/collections/provinces/records -d '{"row":72,"name":"Rize","trid":"TR53","ske_status":"Yok","gender_equality":51,"region":"DOĞU KARADENİZ","high_schools":"Aktif","universities":"Aktif"}' -H 'Content-Type: application/json' &amp;&amp;curl -X POST 127.0.0.1:8090/api/collections/provinces/records -d '{"row":77,"name":"Trabzon","trid":"TR61","ske_status":"Yok","gender_equality":31,"region":"DOĞU KARADENİZ","high_schools":"Aktif","universities":"Aktif"}' -H 'Content-Type: application/json' &amp;&amp;curl -X POST 127.0.0.1:8090/api/collections/provinces/records -d '{"row":43,"name":"Artvin","trid":"TR08","ske_status":"Yok","start_year":2025,"gender_equality":27,"region":"DOĞU KARADENİZ","high_schools":"Yok","universities":"Yok"}' -H 'Content-Type: application/json' &amp;&amp;curl -X POST 127.0.0.1:8090/api/collections/provinces/records -d '{"row":34,"name":"Aydın","trid":"TR09","ske_status":"Aktif","start_year":2025,"gender_equality":9,"region":"EGE BÖLGE","high_schools":"Aktif","universities":"Aktif"}' -H 'Content-Type: application/json' &amp;&amp;curl -X POST 127.0.0.1:8090/api/collections/provinces/records -d '{"row":1,"name":"Kütahya","trid":"TR43","ske_status":"Aktif","start_year":2021,"gender_equality":47,"region":"EGE BÖLGE","high_schools":"Aktif","universities":"Aktif"}' -H 'Content-Type: application/json' &amp;&amp;curl -X POST 127.0.0.1:8090/api/collections/provinces/records -d '{"row":26,"name":"Uşak","trid":"TR64","ske_status":"Aktif","start_year":2025,"gender_equality":20,"region":"EGE BÖLGE","high_schools":"Aktif","universities":"Aktif"}' -H 'Content-Type: application/json' &amp;&amp;curl -X POST 127.0.0.1:8090/api/collections/provinces/records -d '{"row":68,"name":"Muğla","trid":"TR48","ske_status":"Planlıyor","gender_equality":1,"region":"EGE BÖLGE","high_schools":"Aktif","universities":"Aktif"}' -H 'Content-Type: application/json' &amp;&amp;curl -X POST 127.0.0.1:8090/api/collections/provinces/records -d '{"row":23,"name":"Denizli","trid":"TR20","ske_status":"Aktif","start_year":2025,"gender_equality":15,"region":"EGE BÖLGE","high_schools":"Yok","universities":"Aktif"}' -H 'Content-Type: application/json' &amp;&amp;curl -X POST 127.0.0.1:8090/api/collections/provinces/records -d '{"row":66,"name":"Manisa","trid":"TR45","ske_status":"Aktif","start_year":2025,"gender_equality":18,"region":"EGE BÖLGE","high_schools":"Planlıyor","universities":"Yok"}' -H 'Content-Type: application/json' &amp;&amp;curl -X POST 127.0.0.1:8090/api/collections/provinces/records -d '{"row":14,"name":"Gaziantep","trid":"TR27","ske_status":"Aktif","start_year":2023,"gender_equality":39,"region":"GÜNEYDOĞU ANADOLU","high_schools":"Aktif","universities":"Aktif"}' -H 'Content-Type: application/json' &amp;&amp;curl -X POST 127.0.0.1:8090/api/collections/provinces/records -d '{"row":67,"name":"Mardin","trid":"TR47","ske_status":"Aktif","start_year":2025,"gender_equality":61,"region":"GÜNEYDOĞU ANADOLU","high_schools":"Aktif","universities":"Aktif"}' -H 'Content-Type: application/json' &amp;&amp;curl -X POST 127.0.0.1:8090/api/collections/provinces/records -d '{"row":76,"name":"Şırnak","trid":"TR73","ske_status":"Aktif","start_year":2025,"gender_equality":78,"region":"GÜNEYDOĞU ANADOLU","high_schools":"Aktif","universities":"Aktif"}' -H 'Content-Type: application/json' &amp;&amp;curl -X POST 127.0.0.1:8090/api/collections/provinces/records -d '{"row":73,"name":"Şanlıurfa","trid":"TR63","ske_status":"Planlıyor","gender_equality":70,"region":"GÜNEYDOĞU ANADOLU","high_schools":"Aktif","universities":"Aktif"}' -H 'Content-Type: application/json' &amp;&amp;curl -X POST 127.0.0.1:8090/api/collections/provinces/records -d '{"row":37,"name":"Adıyaman","trid":"TR02","ske_status":"Planlıyor","gender_equality":66,"region":"GÜNEYDOĞU ANADOLU","high_schools":"Aktif","universities":"Aktif"}' -H 'Content-Type: application/json' &amp;&amp;curl -X POST 127.0.0.1:8090/api/collections/provinces/records -d '{"row":45,"name":"Batman","trid":"TR72","ske_status":"Yok","gender_equality":77,"region":"GÜNEYDOĞU ANADOLU","high_schools":"Aktif","universities":"Aktif"}' -H 'Content-Type: application/json' &amp;&amp;curl -X POST 127.0.0.1:8090/api/collections/provinces/records -d '{"row":65,"name":"Malatya","trid":"TR44","ske_status":"Yok","gender_equality":48,"region":"GÜNEYDOĞU ANADOLU","high_schools":"Aktif","universities":"Aktif"}' -H 'Content-Type: application/json' &amp;&amp;curl -X POST 127.0.0.1:8090/api/collections/provinces/records -d '{"row":74,"name":"Siirt","trid":"TR56","ske_status":"Yok","gender_equality":74,"region":"GÜNEYDOĞU ANADOLU","high_schools":"Aktif","universities":"Aktif"}' -H 'Content-Type: application/json' &amp;&amp;curl -X POST 127.0.0.1:8090/api/collections/provinces/records -d '{"row":63,"name":"Kilis","trid":"TR79","ske_status":"Yok","gender_equality":54,"region":"GÜNEYDOĞU ANADOLU","high_schools":"Yok","universities":"Aktif"}' -H 'Content-Type: application/json' &amp;&amp;curl -X POST 127.0.0.1:8090/api/collections/provinces/records -d '{"row":13,"name":"Diyarbakir","trid":"TR21","ske_status":"Devam Ettirmiyor","start_year":2022,"gender_equality":33,"region":"GÜNEYDOĞU ANADOLU","high_schools":"Planlıyor","universities":"Planlıyor"}' -H 'Content-Type: application/json' &amp;&amp;curl -X POST 127.0.0.1:8090/api/collections/provinces/records -d '{"row":36,"name":"Çankırı","trid":"TR18","ske_status":"Aktif","start_year":2025,"gender_equality":73,"region":"İÇ ANADOLU","high_schools":"Aktif","universities":"Aktif"}' -H 'Content-Type: application/json' &amp;&amp;curl -X POST 127.0.0.1:8090/api/collections/provinces/records -d '{"row":61,"name":"Karaman","trid":"TR70","ske_status":"Aktif","start_year":2025,"gender_equality":55,"region":"İÇ ANADOLU","high_schools":"Aktif","universities":"Aktif"}' -H 'Content-Type: application/json' &amp;&amp;curl -X POST 127.0.0.1:8090/api/collections/provinces/records -d '{"row":11,"name":"Kayseri","trid":"TR38","ske_status":"Aktif","start_year":2022,"gender_equality":68,"region":"İÇ ANADOLU","high_schools":"Aktif","universities":"Aktif"}' -H 'Content-Type: application/json' &amp;&amp;curl -X POST 127.0.0.1:8090/api/collections/provinces/records -d '{"row":30,"name":"Kırıkkale","trid":"TR71","ske_status":"Aktif","start_year":2025,"gender_equality":75,"region":"İÇ ANADOLU","high_schools":"Aktif","universities":"Aktif"}' -H 'Content-Type: application/json' &amp;&amp;curl -X POST 127.0.0.1:8090/api/collections/provinces/records -d '{"row":10,"name":"Konya","trid":"TR42","ske_status":"Aktif","start_year":2024,"gender_equality":65,"region":"İÇ ANADOLU","high_schools":"Aktif","universities":"Aktif"}' -H 'Content-Type: application/json' &amp;&amp;curl -X POST 127.0.0.1:8090/api/collections/provinces/records -d '{"row":9,"name":"Niğde","trid":"TR51","ske_status":"Aktif","start_year":2022,"gender_equality":23,"region":"İÇ ANADOLU","high_schools":"Aktif","universities":"Aktif"}' -H 'Content-Type: application/json' &amp;&amp;curl -X POST 127.0.0.1:8090/api/collections/provinces/records -d '{"row":17,"name":"Sivas","trid":"TR58","ske_status":"Aktif","start_year":2024,"gender_equality":59,"region":"İÇ ANADOLU","high_schools":"Aktif","universities":"Aktif"}' -H 'Content-Type: application/json' &amp;&amp;curl -X POST 127.0.0.1:8090/api/collections/provinces/records -d '{"row":80,"name":"Yozgat","trid":"TR66","ske_status":"Aktif","start_year":2025,"gender_equality":63,"region":"İÇ ANADOLU","high_schools":"Aktif","universities":"Aktif"}' -H 'Content-Type: application/json' &amp;&amp;curl -X POST 127.0.0.1:8090/api/collections/provinces/records -d '{"row":40,"name":"Aksaray","trid":"TR68","ske_status":"Devam Ettirmiyor","gender_equality":53,"region":"İÇ ANADOLU","high_schools":"Aktif","universities":"Aktif"}' -H 'Content-Type: application/json' &amp;&amp;curl -X POST 127.0.0.1:8090/api/collections/provinces/records -d '{"row":35,"name":"Eskişehir","trid":"TR26","ske_status":"Planlıyor","start_year":2025,"gender_equality":30,"region":"İÇ ANADOLU","high_schools":"Aktif","universities":"Aktif"}' -H 'Content-Type: application/json' &amp;&amp;curl -X POST 127.0.0.1:8090/api/collections/provinces/records -d '{"row":32,"name":"Kırşehir","trid":"TR40","ske_status":"Yok","start_year":2023,"gender_equality":36,"region":"İÇ ANADOLU","high_schools":"Aktif","universities":"Aktif"}' -H 'Content-Type: application/json' &amp;&amp;curl -X POST 127.0.0.1:8090/api/collections/provinces/records -d '{"row":70,"name":"Nevşehir","trid":"TR50","ske_status":"Yok","gender_equality":50,"region":"İÇ ANADOLU","high_schools":"Aktif","universities":"Aktif"}' -H 'Content-Type: application/json' &amp;&amp;curl -X POST 127.0.0.1:8090/api/collections/provinces/records -d '{"row":59,"name":"İstanbul","trid":"TR34","ske_status":"Aktif","start_year":2025,"gender_equality":4,"region":"İSTANBUL","high_schools":"Aktif","universities":"Aktif"}' -H 'Content-Type: application/json' &amp;&amp;curl -X POST 127.0.0.1:8090/api/collections/provinces/records -d '{"row":5,"name":"İzmir","trid":"TR35","ske_status":"Aktif","start_year":2022,"gender_equality":2,"region":"İZMİR","high_schools":"Aktif","universities":"Aktif"}' -H 'Content-Type: application/json' &amp;&amp;curl -X POST 127.0.0.1:8090/api/collections/provinces/records -d '{"row":25,"name":"Balıkesir","trid":"TR10","ske_status":"Aktif","start_year":2024,"gender_equality":10,"region":"MARMARA","high_schools":"Aktif","universities":"Aktif"}' -H 'Content-Type: application/json' &amp;&amp;curl -X POST 127.0.0.1:8090/api/collections/provinces/records -d '{"row":24,"name":"Bilecik","trid":"TR11","ske_status":"Aktif","start_year":2025,"gender_equality":64,"region":"MARMARA","high_schools":"Aktif","universities":"Aktif"}' -H 'Content-Type: application/json' &amp;&amp;curl -X POST 127.0.0.1:8090/api/collections/provinces/records -d '{"row":8,"name":"Bursa","trid":"TR16","ske_status":"Aktif","start_year":2024,"gender_equality":26,"region":"MARMARA","high_schools":"Aktif","universities":"Aktif"}' -H 'Content-Type: application/json' &amp;&amp;curl -X POST 127.0.0.1:8090/api/collections/provinces/records -d '{"row":2,"name":"Kocaeli","trid":"TR41","ske_status":"Aktif","start_year":2022,"gender_equality":37,"region":"MARMARA","high_schools":"Aktif","universities":"Aktif"}' -H 'Content-Type: application/json' &amp;&amp;curl -X POST 127.0.0.1:8090/api/collections/provinces/records -d '{"row":6,"name":"Sakarya","trid":"TR54","ske_status":"Aktif","start_year":2022,"gender_equality":42,"region":"MARMARA","high_schools":"Aktif","universities":"Aktif"}' -H 'Content-Type: application/json' &amp;&amp;curl -X POST 127.0.0.1:8090/api/collections/provinces/records -d '{"row":33,"name":"Yalova","trid":"TR77","ske_status":"Aktif","start_year":2025,"gender_equality":3,"region":"MARMARA","high_schools":"Aktif","universities":"Aktif"}' -H 'Content-Type: application/json' &amp;&amp;curl -X POST 127.0.0.1:8090/api/collections/provinces/records -d '{"row":64,"name":"Kırklareli","trid":"TR39","ske_status":"Aktif","start_year":2025,"gender_equality":5,"region":"TRAKYA","high_schools":"Aktif","universities":"Aktif"}' -H 'Content-Type: application/json' &amp;&amp;curl -X POST 127.0.0.1:8090/api/collections/provinces/records -d '{"row":51,"name":"Edirne","trid":"TR22","ske_status":"Planlıyor","gender_equality":12,"region":"TRAKYA","high_schools":"Aktif","universities":"Aktif"}' -H 'Content-Type: application/json' &amp;&amp;curl -X POST 127.0.0.1:8090/api/collections/provinces/records -d '{"row":50,"name":"Çanakkale","trid":"TR17","ske_status":"Yok","gender_equality":6,"region":"TRAKYA","high_schools":"Aktif","universities":"Aktif"}' -H 'Content-Type: application/json' &amp;&amp;curl -X POST 127.0.0.1:8090/api/collections/provinces/records -d '{"row":12,"name":"Tekirdağ","trid":"TR59","ske_status":"Aktif","start_year":2022,"gender_equality":17,"region":"TRAKYA","high_schools":"Yok","universities":"Yok"}' -H 'Content-Type: application/json' &amp;&amp;</v>
      </c>
    </row>
    <row r="3" customFormat="false" ht="16.5" hidden="false" customHeight="true" outlineLevel="0" collapsed="false">
      <c r="A3" s="1" t="n">
        <v>38</v>
      </c>
      <c r="B3" s="1" t="s">
        <v>15</v>
      </c>
      <c r="C3" s="1" t="s">
        <v>16</v>
      </c>
      <c r="D3" s="1" t="s">
        <v>11</v>
      </c>
      <c r="E3" s="1" t="n">
        <v>2025</v>
      </c>
      <c r="F3" s="1" t="n">
        <v>56</v>
      </c>
      <c r="G3" s="1" t="s">
        <v>17</v>
      </c>
      <c r="H3" s="1" t="s">
        <v>11</v>
      </c>
      <c r="I3" s="2" t="s">
        <v>11</v>
      </c>
      <c r="J3" s="0" t="s">
        <v>13</v>
      </c>
      <c r="K3" s="0" t="str">
        <f aca="false">_xlfn.CONCAT("""row"":", A3,",""name"":""",B3,""",""trid"":""",C3,""",""ske_status"":""",D3,""",")</f>
        <v>"row":38,"name":"Afyonkarahisar","trid":"TR03","ske_status":"Aktif",</v>
      </c>
      <c r="L3" s="0" t="str">
        <f aca="false">IF(ISBLANK(E3),"",_xlfn.CONCAT("""start_year"":",E3,","))</f>
        <v>"start_year":2025,</v>
      </c>
      <c r="M3" s="0" t="str">
        <f aca="false">_xlfn.CONCAT("""gender_equality"":",F3,",""region"":""",G3,""",""high_schools"":""",H3,""",""universities"":""",I3,"""")</f>
        <v>"gender_equality":56,"region":"BATI AKDENİZ","high_schools":"Aktif","universities":"Aktif"</v>
      </c>
      <c r="N3" s="0" t="str">
        <f aca="false">N2</f>
        <v>}' -H 'Content-Type: application/json' &amp;&amp;</v>
      </c>
      <c r="O3" s="5" t="str">
        <f aca="false">_xlfn.CONCAT(J3:N3)</f>
        <v>curl -X POST 127.0.0.1:8090/api/collections/provinces/records -d '{"row":38,"name":"Afyonkarahisar","trid":"TR03","ske_status":"Aktif","start_year":2025,"gender_equality":56,"region":"BATI AKDENİZ","high_schools":"Aktif","universities":"Aktif"}' -H 'Content-Type: application/json' &amp;&amp;</v>
      </c>
    </row>
    <row r="4" customFormat="false" ht="15.75" hidden="false" customHeight="false" outlineLevel="0" collapsed="false">
      <c r="A4" s="1" t="n">
        <v>16</v>
      </c>
      <c r="B4" s="1" t="s">
        <v>18</v>
      </c>
      <c r="C4" s="1" t="s">
        <v>19</v>
      </c>
      <c r="D4" s="1" t="s">
        <v>11</v>
      </c>
      <c r="E4" s="1" t="n">
        <v>2024</v>
      </c>
      <c r="F4" s="1" t="n">
        <v>14</v>
      </c>
      <c r="G4" s="1" t="s">
        <v>17</v>
      </c>
      <c r="H4" s="1" t="s">
        <v>11</v>
      </c>
      <c r="I4" s="2" t="s">
        <v>11</v>
      </c>
      <c r="J4" s="0" t="s">
        <v>13</v>
      </c>
      <c r="K4" s="0" t="str">
        <f aca="false">_xlfn.CONCAT("""row"":", A4,",""name"":""",B4,""",""trid"":""",C4,""",""ske_status"":""",D4,""",")</f>
        <v>"row":16,"name":"Antalya","trid":"TR07","ske_status":"Aktif",</v>
      </c>
      <c r="L4" s="0" t="str">
        <f aca="false">IF(ISBLANK(E4),"",_xlfn.CONCAT("""start_year"":",E4,","))</f>
        <v>"start_year":2024,</v>
      </c>
      <c r="M4" s="0" t="str">
        <f aca="false">_xlfn.CONCAT("""gender_equality"":",F4,",""region"":""",G4,""",""high_schools"":""",H4,""",""universities"":""",I4,"""")</f>
        <v>"gender_equality":14,"region":"BATI AKDENİZ","high_schools":"Aktif","universities":"Aktif"</v>
      </c>
      <c r="N4" s="0" t="str">
        <f aca="false">N3</f>
        <v>}' -H 'Content-Type: application/json' &amp;&amp;</v>
      </c>
      <c r="O4" s="5" t="str">
        <f aca="false">_xlfn.CONCAT(J4:N4)</f>
        <v>curl -X POST 127.0.0.1:8090/api/collections/provinces/records -d '{"row":16,"name":"Antalya","trid":"TR07","ske_status":"Aktif","start_year":2024,"gender_equality":14,"region":"BATI AKDENİZ","high_schools":"Aktif","universities":"Aktif"}' -H 'Content-Type: application/json' &amp;&amp;</v>
      </c>
    </row>
    <row r="5" customFormat="false" ht="15.75" hidden="false" customHeight="true" outlineLevel="0" collapsed="false">
      <c r="A5" s="1" t="n">
        <v>49</v>
      </c>
      <c r="B5" s="1" t="s">
        <v>20</v>
      </c>
      <c r="C5" s="1" t="s">
        <v>21</v>
      </c>
      <c r="D5" s="1" t="s">
        <v>22</v>
      </c>
      <c r="F5" s="1" t="n">
        <v>49</v>
      </c>
      <c r="G5" s="1" t="s">
        <v>17</v>
      </c>
      <c r="H5" s="1" t="s">
        <v>11</v>
      </c>
      <c r="I5" s="2" t="s">
        <v>11</v>
      </c>
      <c r="J5" s="0" t="s">
        <v>13</v>
      </c>
      <c r="K5" s="0" t="str">
        <f aca="false">_xlfn.CONCAT("""row"":", A5,",""name"":""",B5,""",""trid"":""",C5,""",""ske_status"":""",D5,""",")</f>
        <v>"row":49,"name":"Burdur","trid":"TR15","ske_status":"Planlıyor",</v>
      </c>
      <c r="L5" s="0" t="str">
        <f aca="false">IF(ISBLANK(E5),"",_xlfn.CONCAT("""start_year"":",E5,","))</f>
        <v/>
      </c>
      <c r="M5" s="0" t="str">
        <f aca="false">_xlfn.CONCAT("""gender_equality"":",F5,",""region"":""",G5,""",""high_schools"":""",H5,""",""universities"":""",I5,"""")</f>
        <v>"gender_equality":49,"region":"BATI AKDENİZ","high_schools":"Aktif","universities":"Aktif"</v>
      </c>
      <c r="N5" s="0" t="str">
        <f aca="false">N4</f>
        <v>}' -H 'Content-Type: application/json' &amp;&amp;</v>
      </c>
      <c r="O5" s="5" t="str">
        <f aca="false">_xlfn.CONCAT(J5:N5)</f>
        <v>curl -X POST 127.0.0.1:8090/api/collections/provinces/records -d '{"row":49,"name":"Burdur","trid":"TR15","ske_status":"Planlıyor","gender_equality":49,"region":"BATI AKDENİZ","high_schools":"Aktif","universities":"Aktif"}' -H 'Content-Type: application/json' &amp;&amp;</v>
      </c>
    </row>
    <row r="6" customFormat="false" ht="18" hidden="false" customHeight="true" outlineLevel="0" collapsed="false">
      <c r="A6" s="1" t="n">
        <v>58</v>
      </c>
      <c r="B6" s="1" t="s">
        <v>23</v>
      </c>
      <c r="C6" s="1" t="s">
        <v>24</v>
      </c>
      <c r="D6" s="1" t="s">
        <v>22</v>
      </c>
      <c r="F6" s="1" t="n">
        <v>29</v>
      </c>
      <c r="G6" s="1" t="s">
        <v>17</v>
      </c>
      <c r="H6" s="1" t="s">
        <v>11</v>
      </c>
      <c r="I6" s="2" t="s">
        <v>11</v>
      </c>
      <c r="J6" s="0" t="s">
        <v>13</v>
      </c>
      <c r="K6" s="0" t="str">
        <f aca="false">_xlfn.CONCAT("""row"":", A6,",""name"":""",B6,""",""trid"":""",C6,""",""ske_status"":""",D6,""",")</f>
        <v>"row":58,"name":"Isparta","trid":"TR32","ske_status":"Planlıyor",</v>
      </c>
      <c r="L6" s="0" t="str">
        <f aca="false">IF(ISBLANK(E6),"",_xlfn.CONCAT("""start_year"":",E6,","))</f>
        <v/>
      </c>
      <c r="M6" s="0" t="str">
        <f aca="false">_xlfn.CONCAT("""gender_equality"":",F6,",""region"":""",G6,""",""high_schools"":""",H6,""",""universities"":""",I6,"""")</f>
        <v>"gender_equality":29,"region":"BATI AKDENİZ","high_schools":"Aktif","universities":"Aktif"</v>
      </c>
      <c r="N6" s="0" t="str">
        <f aca="false">N5</f>
        <v>}' -H 'Content-Type: application/json' &amp;&amp;</v>
      </c>
      <c r="O6" s="5" t="str">
        <f aca="false">_xlfn.CONCAT(J6:N6)</f>
        <v>curl -X POST 127.0.0.1:8090/api/collections/provinces/records -d '{"row":58,"name":"Isparta","trid":"TR32","ske_status":"Planlıyor","gender_equality":29,"region":"BATI AKDENİZ","high_schools":"Aktif","universities":"Aktif"}' -H 'Content-Type: application/json' &amp;&amp;</v>
      </c>
    </row>
    <row r="7" customFormat="false" ht="18" hidden="false" customHeight="true" outlineLevel="0" collapsed="false">
      <c r="A7" s="1" t="n">
        <v>4</v>
      </c>
      <c r="B7" s="1" t="s">
        <v>25</v>
      </c>
      <c r="C7" s="1" t="s">
        <v>26</v>
      </c>
      <c r="D7" s="1" t="s">
        <v>11</v>
      </c>
      <c r="E7" s="1" t="n">
        <v>2022</v>
      </c>
      <c r="F7" s="1" t="n">
        <v>34</v>
      </c>
      <c r="G7" s="1" t="s">
        <v>27</v>
      </c>
      <c r="H7" s="1" t="s">
        <v>11</v>
      </c>
      <c r="I7" s="2" t="s">
        <v>11</v>
      </c>
      <c r="J7" s="0" t="s">
        <v>13</v>
      </c>
      <c r="K7" s="0" t="str">
        <f aca="false">_xlfn.CONCAT("""row"":", A7,",""name"":""",B7,""",""trid"":""",C7,""",""ske_status"":""",D7,""",")</f>
        <v>"row":4,"name":"Bolu","trid":"TR14","ske_status":"Aktif",</v>
      </c>
      <c r="L7" s="0" t="str">
        <f aca="false">IF(ISBLANK(E7),"",_xlfn.CONCAT("""start_year"":",E7,","))</f>
        <v>"start_year":2022,</v>
      </c>
      <c r="M7" s="0" t="str">
        <f aca="false">_xlfn.CONCAT("""gender_equality"":",F7,",""region"":""",G7,""",""high_schools"":""",H7,""",""universities"":""",I7,"""")</f>
        <v>"gender_equality":34,"region":"BATI KARADENİZ","high_schools":"Aktif","universities":"Aktif"</v>
      </c>
      <c r="N7" s="0" t="str">
        <f aca="false">N6</f>
        <v>}' -H 'Content-Type: application/json' &amp;&amp;</v>
      </c>
      <c r="O7" s="5" t="str">
        <f aca="false">_xlfn.CONCAT(J7:N7)</f>
        <v>curl -X POST 127.0.0.1:8090/api/collections/provinces/records -d '{"row":4,"name":"Bolu","trid":"TR14","ske_status":"Aktif","start_year":2022,"gender_equality":34,"region":"BATI KARADENİZ","high_schools":"Aktif","universities":"Aktif"}' -H 'Content-Type: application/json' &amp;&amp;</v>
      </c>
    </row>
    <row r="8" customFormat="false" ht="15.75" hidden="false" customHeight="false" outlineLevel="0" collapsed="false">
      <c r="A8" s="1" t="n">
        <v>7</v>
      </c>
      <c r="B8" s="1" t="s">
        <v>28</v>
      </c>
      <c r="C8" s="1" t="s">
        <v>29</v>
      </c>
      <c r="D8" s="1" t="s">
        <v>11</v>
      </c>
      <c r="E8" s="1" t="n">
        <v>2022</v>
      </c>
      <c r="F8" s="1" t="n">
        <v>60</v>
      </c>
      <c r="G8" s="1" t="s">
        <v>27</v>
      </c>
      <c r="H8" s="1" t="s">
        <v>11</v>
      </c>
      <c r="I8" s="2" t="s">
        <v>11</v>
      </c>
      <c r="J8" s="0" t="s">
        <v>13</v>
      </c>
      <c r="K8" s="0" t="str">
        <f aca="false">_xlfn.CONCAT("""row"":", A8,",""name"":""",B8,""",""trid"":""",C8,""",""ske_status"":""",D8,""",")</f>
        <v>"row":7,"name":"Çorum","trid":"TR19","ske_status":"Aktif",</v>
      </c>
      <c r="L8" s="0" t="str">
        <f aca="false">IF(ISBLANK(E8),"",_xlfn.CONCAT("""start_year"":",E8,","))</f>
        <v>"start_year":2022,</v>
      </c>
      <c r="M8" s="0" t="str">
        <f aca="false">_xlfn.CONCAT("""gender_equality"":",F8,",""region"":""",G8,""",""high_schools"":""",H8,""",""universities"":""",I8,"""")</f>
        <v>"gender_equality":60,"region":"BATI KARADENİZ","high_schools":"Aktif","universities":"Aktif"</v>
      </c>
      <c r="N8" s="0" t="str">
        <f aca="false">N7</f>
        <v>}' -H 'Content-Type: application/json' &amp;&amp;</v>
      </c>
      <c r="O8" s="5" t="str">
        <f aca="false">_xlfn.CONCAT(J8:N8)</f>
        <v>curl -X POST 127.0.0.1:8090/api/collections/provinces/records -d '{"row":7,"name":"Çorum","trid":"TR19","ske_status":"Aktif","start_year":2022,"gender_equality":60,"region":"BATI KARADENİZ","high_schools":"Aktif","universities":"Aktif"}' -H 'Content-Type: application/json' &amp;&amp;</v>
      </c>
    </row>
    <row r="9" customFormat="false" ht="15.75" hidden="false" customHeight="false" outlineLevel="0" collapsed="false">
      <c r="A9" s="1" t="n">
        <v>3</v>
      </c>
      <c r="B9" s="1" t="s">
        <v>30</v>
      </c>
      <c r="C9" s="1" t="s">
        <v>31</v>
      </c>
      <c r="D9" s="1" t="s">
        <v>11</v>
      </c>
      <c r="E9" s="1" t="n">
        <v>2022</v>
      </c>
      <c r="F9" s="1" t="n">
        <v>32</v>
      </c>
      <c r="G9" s="1" t="s">
        <v>27</v>
      </c>
      <c r="H9" s="1" t="s">
        <v>11</v>
      </c>
      <c r="I9" s="2" t="s">
        <v>11</v>
      </c>
      <c r="J9" s="0" t="s">
        <v>13</v>
      </c>
      <c r="K9" s="0" t="str">
        <f aca="false">_xlfn.CONCAT("""row"":", A9,",""name"":""",B9,""",""trid"":""",C9,""",""ske_status"":""",D9,""",")</f>
        <v>"row":3,"name":"Düzce","trid":"TR81","ske_status":"Aktif",</v>
      </c>
      <c r="L9" s="0" t="str">
        <f aca="false">IF(ISBLANK(E9),"",_xlfn.CONCAT("""start_year"":",E9,","))</f>
        <v>"start_year":2022,</v>
      </c>
      <c r="M9" s="0" t="str">
        <f aca="false">_xlfn.CONCAT("""gender_equality"":",F9,",""region"":""",G9,""",""high_schools"":""",H9,""",""universities"":""",I9,"""")</f>
        <v>"gender_equality":32,"region":"BATI KARADENİZ","high_schools":"Aktif","universities":"Aktif"</v>
      </c>
      <c r="N9" s="0" t="str">
        <f aca="false">N8</f>
        <v>}' -H 'Content-Type: application/json' &amp;&amp;</v>
      </c>
      <c r="O9" s="5" t="str">
        <f aca="false">_xlfn.CONCAT(J9:N9)</f>
        <v>curl -X POST 127.0.0.1:8090/api/collections/provinces/records -d '{"row":3,"name":"Düzce","trid":"TR81","ske_status":"Aktif","start_year":2022,"gender_equality":32,"region":"BATI KARADENİZ","high_schools":"Aktif","universities":"Aktif"}' -H 'Content-Type: application/json' &amp;&amp;</v>
      </c>
    </row>
    <row r="10" customFormat="false" ht="15" hidden="false" customHeight="true" outlineLevel="0" collapsed="false">
      <c r="A10" s="1" t="n">
        <v>19</v>
      </c>
      <c r="B10" s="1" t="s">
        <v>32</v>
      </c>
      <c r="C10" s="1" t="s">
        <v>33</v>
      </c>
      <c r="D10" s="1" t="s">
        <v>11</v>
      </c>
      <c r="E10" s="1" t="n">
        <v>2024</v>
      </c>
      <c r="F10" s="1" t="n">
        <v>25</v>
      </c>
      <c r="G10" s="1" t="s">
        <v>27</v>
      </c>
      <c r="H10" s="1" t="s">
        <v>11</v>
      </c>
      <c r="I10" s="2" t="s">
        <v>11</v>
      </c>
      <c r="J10" s="0" t="s">
        <v>13</v>
      </c>
      <c r="K10" s="0" t="str">
        <f aca="false">_xlfn.CONCAT("""row"":", A10,",""name"":""",B10,""",""trid"":""",C10,""",""ske_status"":""",D10,""",")</f>
        <v>"row":19,"name":"Samsun","trid":"TR55","ske_status":"Aktif",</v>
      </c>
      <c r="L10" s="0" t="str">
        <f aca="false">IF(ISBLANK(E10),"",_xlfn.CONCAT("""start_year"":",E10,","))</f>
        <v>"start_year":2024,</v>
      </c>
      <c r="M10" s="0" t="str">
        <f aca="false">_xlfn.CONCAT("""gender_equality"":",F10,",""region"":""",G10,""",""high_schools"":""",H10,""",""universities"":""",I10,"""")</f>
        <v>"gender_equality":25,"region":"BATI KARADENİZ","high_schools":"Aktif","universities":"Aktif"</v>
      </c>
      <c r="N10" s="0" t="str">
        <f aca="false">N9</f>
        <v>}' -H 'Content-Type: application/json' &amp;&amp;</v>
      </c>
      <c r="O10" s="5" t="str">
        <f aca="false">_xlfn.CONCAT(J10:N10)</f>
        <v>curl -X POST 127.0.0.1:8090/api/collections/provinces/records -d '{"row":19,"name":"Samsun","trid":"TR55","ske_status":"Aktif","start_year":2024,"gender_equality":25,"region":"BATI KARADENİZ","high_schools":"Aktif","universities":"Aktif"}' -H 'Content-Type: application/json' &amp;&amp;</v>
      </c>
    </row>
    <row r="11" customFormat="false" ht="18" hidden="false" customHeight="true" outlineLevel="0" collapsed="false">
      <c r="A11" s="1" t="n">
        <v>27</v>
      </c>
      <c r="B11" s="1" t="s">
        <v>34</v>
      </c>
      <c r="C11" s="1" t="s">
        <v>35</v>
      </c>
      <c r="D11" s="1" t="s">
        <v>11</v>
      </c>
      <c r="E11" s="1" t="n">
        <v>2024</v>
      </c>
      <c r="F11" s="1" t="n">
        <v>67</v>
      </c>
      <c r="G11" s="1" t="s">
        <v>27</v>
      </c>
      <c r="H11" s="1" t="s">
        <v>11</v>
      </c>
      <c r="I11" s="2" t="s">
        <v>11</v>
      </c>
      <c r="J11" s="0" t="s">
        <v>13</v>
      </c>
      <c r="K11" s="0" t="str">
        <f aca="false">_xlfn.CONCAT("""row"":", A11,",""name"":""",B11,""",""trid"":""",C11,""",""ske_status"":""",D11,""",")</f>
        <v>"row":27,"name":"Tokat","trid":"TR60","ske_status":"Aktif",</v>
      </c>
      <c r="L11" s="0" t="str">
        <f aca="false">IF(ISBLANK(E11),"",_xlfn.CONCAT("""start_year"":",E11,","))</f>
        <v>"start_year":2024,</v>
      </c>
      <c r="M11" s="0" t="str">
        <f aca="false">_xlfn.CONCAT("""gender_equality"":",F11,",""region"":""",G11,""",""high_schools"":""",H11,""",""universities"":""",I11,"""")</f>
        <v>"gender_equality":67,"region":"BATI KARADENİZ","high_schools":"Aktif","universities":"Aktif"</v>
      </c>
      <c r="N11" s="0" t="str">
        <f aca="false">N10</f>
        <v>}' -H 'Content-Type: application/json' &amp;&amp;</v>
      </c>
      <c r="O11" s="5" t="str">
        <f aca="false">_xlfn.CONCAT(J11:N11)</f>
        <v>curl -X POST 127.0.0.1:8090/api/collections/provinces/records -d '{"row":27,"name":"Tokat","trid":"TR60","ske_status":"Aktif","start_year":2024,"gender_equality":67,"region":"BATI KARADENİZ","high_schools":"Aktif","universities":"Aktif"}' -H 'Content-Type: application/json' &amp;&amp;</v>
      </c>
    </row>
    <row r="12" customFormat="false" ht="15.75" hidden="false" customHeight="false" outlineLevel="0" collapsed="false">
      <c r="A12" s="1" t="n">
        <v>81</v>
      </c>
      <c r="B12" s="1" t="s">
        <v>36</v>
      </c>
      <c r="C12" s="1" t="s">
        <v>37</v>
      </c>
      <c r="D12" s="1" t="s">
        <v>11</v>
      </c>
      <c r="E12" s="1" t="n">
        <v>2025</v>
      </c>
      <c r="F12" s="1" t="n">
        <v>35</v>
      </c>
      <c r="G12" s="1" t="s">
        <v>27</v>
      </c>
      <c r="H12" s="1" t="s">
        <v>11</v>
      </c>
      <c r="I12" s="2" t="s">
        <v>11</v>
      </c>
      <c r="J12" s="0" t="s">
        <v>13</v>
      </c>
      <c r="K12" s="0" t="str">
        <f aca="false">_xlfn.CONCAT("""row"":", A12,",""name"":""",B12,""",""trid"":""",C12,""",""ske_status"":""",D12,""",")</f>
        <v>"row":81,"name":"Zonguldak","trid":"TR67","ske_status":"Aktif",</v>
      </c>
      <c r="L12" s="0" t="str">
        <f aca="false">IF(ISBLANK(E12),"",_xlfn.CONCAT("""start_year"":",E12,","))</f>
        <v>"start_year":2025,</v>
      </c>
      <c r="M12" s="0" t="str">
        <f aca="false">_xlfn.CONCAT("""gender_equality"":",F12,",""region"":""",G12,""",""high_schools"":""",H12,""",""universities"":""",I12,"""")</f>
        <v>"gender_equality":35,"region":"BATI KARADENİZ","high_schools":"Aktif","universities":"Aktif"</v>
      </c>
      <c r="N12" s="0" t="str">
        <f aca="false">N11</f>
        <v>}' -H 'Content-Type: application/json' &amp;&amp;</v>
      </c>
      <c r="O12" s="5" t="str">
        <f aca="false">_xlfn.CONCAT(J12:N12)</f>
        <v>curl -X POST 127.0.0.1:8090/api/collections/provinces/records -d '{"row":81,"name":"Zonguldak","trid":"TR67","ske_status":"Aktif","start_year":2025,"gender_equality":35,"region":"BATI KARADENİZ","high_schools":"Aktif","universities":"Aktif"}' -H 'Content-Type: application/json' &amp;&amp;</v>
      </c>
    </row>
    <row r="13" customFormat="false" ht="15.75" hidden="false" customHeight="false" outlineLevel="0" collapsed="false">
      <c r="A13" s="1" t="n">
        <v>44</v>
      </c>
      <c r="B13" s="1" t="s">
        <v>38</v>
      </c>
      <c r="C13" s="1" t="s">
        <v>39</v>
      </c>
      <c r="D13" s="1" t="s">
        <v>22</v>
      </c>
      <c r="F13" s="1" t="n">
        <v>38</v>
      </c>
      <c r="G13" s="1" t="s">
        <v>27</v>
      </c>
      <c r="H13" s="1" t="s">
        <v>11</v>
      </c>
      <c r="I13" s="2" t="s">
        <v>11</v>
      </c>
      <c r="J13" s="0" t="s">
        <v>13</v>
      </c>
      <c r="K13" s="0" t="str">
        <f aca="false">_xlfn.CONCAT("""row"":", A13,",""name"":""",B13,""",""trid"":""",C13,""",""ske_status"":""",D13,""",")</f>
        <v>"row":44,"name":"Bartın","trid":"TR74","ske_status":"Planlıyor",</v>
      </c>
      <c r="L13" s="0" t="str">
        <f aca="false">IF(ISBLANK(E13),"",_xlfn.CONCAT("""start_year"":",E13,","))</f>
        <v/>
      </c>
      <c r="M13" s="0" t="str">
        <f aca="false">_xlfn.CONCAT("""gender_equality"":",F13,",""region"":""",G13,""",""high_schools"":""",H13,""",""universities"":""",I13,"""")</f>
        <v>"gender_equality":38,"region":"BATI KARADENİZ","high_schools":"Aktif","universities":"Aktif"</v>
      </c>
      <c r="N13" s="0" t="str">
        <f aca="false">N12</f>
        <v>}' -H 'Content-Type: application/json' &amp;&amp;</v>
      </c>
      <c r="O13" s="5" t="str">
        <f aca="false">_xlfn.CONCAT(J13:N13)</f>
        <v>curl -X POST 127.0.0.1:8090/api/collections/provinces/records -d '{"row":44,"name":"Bartın","trid":"TR74","ske_status":"Planlıyor","gender_equality":38,"region":"BATI KARADENİZ","high_schools":"Aktif","universities":"Aktif"}' -H 'Content-Type: application/json' &amp;&amp;</v>
      </c>
    </row>
    <row r="14" customFormat="false" ht="16.5" hidden="false" customHeight="true" outlineLevel="0" collapsed="false">
      <c r="A14" s="1" t="n">
        <v>41</v>
      </c>
      <c r="B14" s="1" t="s">
        <v>40</v>
      </c>
      <c r="C14" s="1" t="s">
        <v>41</v>
      </c>
      <c r="D14" s="1" t="s">
        <v>42</v>
      </c>
      <c r="E14" s="1" t="n">
        <v>2025</v>
      </c>
      <c r="F14" s="1" t="n">
        <v>58</v>
      </c>
      <c r="G14" s="1" t="s">
        <v>27</v>
      </c>
      <c r="H14" s="1" t="s">
        <v>11</v>
      </c>
      <c r="I14" s="2" t="s">
        <v>11</v>
      </c>
      <c r="J14" s="0" t="s">
        <v>13</v>
      </c>
      <c r="K14" s="0" t="str">
        <f aca="false">_xlfn.CONCAT("""row"":", A14,",""name"":""",B14,""",""trid"":""",C14,""",""ske_status"":""",D14,""",")</f>
        <v>"row":41,"name":"Amasya","trid":"TR05","ske_status":"Yok",</v>
      </c>
      <c r="L14" s="0" t="str">
        <f aca="false">IF(ISBLANK(E14),"",_xlfn.CONCAT("""start_year"":",E14,","))</f>
        <v>"start_year":2025,</v>
      </c>
      <c r="M14" s="0" t="str">
        <f aca="false">_xlfn.CONCAT("""gender_equality"":",F14,",""region"":""",G14,""",""high_schools"":""",H14,""",""universities"":""",I14,"""")</f>
        <v>"gender_equality":58,"region":"BATI KARADENİZ","high_schools":"Aktif","universities":"Aktif"</v>
      </c>
      <c r="N14" s="0" t="str">
        <f aca="false">N13</f>
        <v>}' -H 'Content-Type: application/json' &amp;&amp;</v>
      </c>
      <c r="O14" s="5" t="str">
        <f aca="false">_xlfn.CONCAT(J14:N14)</f>
        <v>curl -X POST 127.0.0.1:8090/api/collections/provinces/records -d '{"row":41,"name":"Amasya","trid":"TR05","ske_status":"Yok","start_year":2025,"gender_equality":58,"region":"BATI KARADENİZ","high_schools":"Aktif","universities":"Aktif"}' -H 'Content-Type: application/json' &amp;&amp;</v>
      </c>
    </row>
    <row r="15" customFormat="false" ht="19.5" hidden="false" customHeight="true" outlineLevel="0" collapsed="false">
      <c r="A15" s="1" t="n">
        <v>75</v>
      </c>
      <c r="B15" s="1" t="s">
        <v>43</v>
      </c>
      <c r="C15" s="1" t="s">
        <v>44</v>
      </c>
      <c r="D15" s="1" t="s">
        <v>42</v>
      </c>
      <c r="E15" s="1" t="n">
        <v>2025</v>
      </c>
      <c r="F15" s="1" t="n">
        <v>7</v>
      </c>
      <c r="G15" s="1" t="s">
        <v>27</v>
      </c>
      <c r="H15" s="1" t="s">
        <v>11</v>
      </c>
      <c r="I15" s="2" t="s">
        <v>11</v>
      </c>
      <c r="J15" s="0" t="s">
        <v>13</v>
      </c>
      <c r="K15" s="0" t="str">
        <f aca="false">_xlfn.CONCAT("""row"":", A15,",""name"":""",B15,""",""trid"":""",C15,""",""ske_status"":""",D15,""",")</f>
        <v>"row":75,"name":"Sinop","trid":"TR57","ske_status":"Yok",</v>
      </c>
      <c r="L15" s="0" t="str">
        <f aca="false">IF(ISBLANK(E15),"",_xlfn.CONCAT("""start_year"":",E15,","))</f>
        <v>"start_year":2025,</v>
      </c>
      <c r="M15" s="0" t="str">
        <f aca="false">_xlfn.CONCAT("""gender_equality"":",F15,",""region"":""",G15,""",""high_schools"":""",H15,""",""universities"":""",I15,"""")</f>
        <v>"gender_equality":7,"region":"BATI KARADENİZ","high_schools":"Aktif","universities":"Aktif"</v>
      </c>
      <c r="N15" s="0" t="str">
        <f aca="false">N14</f>
        <v>}' -H 'Content-Type: application/json' &amp;&amp;</v>
      </c>
      <c r="O15" s="5" t="str">
        <f aca="false">_xlfn.CONCAT(J15:N15)</f>
        <v>curl -X POST 127.0.0.1:8090/api/collections/provinces/records -d '{"row":75,"name":"Sinop","trid":"TR57","ske_status":"Yok","start_year":2025,"gender_equality":7,"region":"BATI KARADENİZ","high_schools":"Aktif","universities":"Aktif"}' -H 'Content-Type: application/json' &amp;&amp;</v>
      </c>
    </row>
    <row r="16" customFormat="false" ht="16.5" hidden="false" customHeight="true" outlineLevel="0" collapsed="false">
      <c r="A16" s="1" t="n">
        <v>62</v>
      </c>
      <c r="B16" s="1" t="s">
        <v>45</v>
      </c>
      <c r="C16" s="1" t="s">
        <v>46</v>
      </c>
      <c r="D16" s="1" t="s">
        <v>11</v>
      </c>
      <c r="E16" s="1" t="n">
        <v>2025</v>
      </c>
      <c r="F16" s="1" t="n">
        <v>69</v>
      </c>
      <c r="G16" s="1" t="s">
        <v>27</v>
      </c>
      <c r="H16" s="1" t="s">
        <v>42</v>
      </c>
      <c r="I16" s="2" t="s">
        <v>11</v>
      </c>
      <c r="J16" s="0" t="s">
        <v>13</v>
      </c>
      <c r="K16" s="0" t="str">
        <f aca="false">_xlfn.CONCAT("""row"":", A16,",""name"":""",B16,""",""trid"":""",C16,""",""ske_status"":""",D16,""",")</f>
        <v>"row":62,"name":"Kastamonu","trid":"TR37","ske_status":"Aktif",</v>
      </c>
      <c r="L16" s="0" t="str">
        <f aca="false">IF(ISBLANK(E16),"",_xlfn.CONCAT("""start_year"":",E16,","))</f>
        <v>"start_year":2025,</v>
      </c>
      <c r="M16" s="0" t="str">
        <f aca="false">_xlfn.CONCAT("""gender_equality"":",F16,",""region"":""",G16,""",""high_schools"":""",H16,""",""universities"":""",I16,"""")</f>
        <v>"gender_equality":69,"region":"BATI KARADENİZ","high_schools":"Yok","universities":"Aktif"</v>
      </c>
      <c r="N16" s="0" t="str">
        <f aca="false">N15</f>
        <v>}' -H 'Content-Type: application/json' &amp;&amp;</v>
      </c>
      <c r="O16" s="5" t="str">
        <f aca="false">_xlfn.CONCAT(J16:N16)</f>
        <v>curl -X POST 127.0.0.1:8090/api/collections/provinces/records -d '{"row":62,"name":"Kastamonu","trid":"TR37","ske_status":"Aktif","start_year":2025,"gender_equality":69,"region":"BATI KARADENİZ","high_schools":"Yok","universities":"Aktif"}' -H 'Content-Type: application/json' &amp;&amp;</v>
      </c>
    </row>
    <row r="17" customFormat="false" ht="15.75" hidden="false" customHeight="false" outlineLevel="0" collapsed="false">
      <c r="A17" s="1" t="n">
        <v>60</v>
      </c>
      <c r="B17" s="1" t="s">
        <v>47</v>
      </c>
      <c r="C17" s="1" t="s">
        <v>48</v>
      </c>
      <c r="D17" s="1" t="s">
        <v>42</v>
      </c>
      <c r="E17" s="1" t="n">
        <v>2025</v>
      </c>
      <c r="F17" s="1" t="n">
        <v>43</v>
      </c>
      <c r="G17" s="1" t="s">
        <v>27</v>
      </c>
      <c r="H17" s="1" t="s">
        <v>42</v>
      </c>
      <c r="I17" s="2" t="s">
        <v>42</v>
      </c>
      <c r="J17" s="0" t="s">
        <v>13</v>
      </c>
      <c r="K17" s="0" t="str">
        <f aca="false">_xlfn.CONCAT("""row"":", A17,",""name"":""",B17,""",""trid"":""",C17,""",""ske_status"":""",D17,""",")</f>
        <v>"row":60,"name":"Karabük","trid":"TR78","ske_status":"Yok",</v>
      </c>
      <c r="L17" s="0" t="str">
        <f aca="false">IF(ISBLANK(E17),"",_xlfn.CONCAT("""start_year"":",E17,","))</f>
        <v>"start_year":2025,</v>
      </c>
      <c r="M17" s="0" t="str">
        <f aca="false">_xlfn.CONCAT("""gender_equality"":",F17,",""region"":""",G17,""",""high_schools"":""",H17,""",""universities"":""",I17,"""")</f>
        <v>"gender_equality":43,"region":"BATI KARADENİZ","high_schools":"Yok","universities":"Yok"</v>
      </c>
      <c r="N17" s="0" t="str">
        <f aca="false">N16</f>
        <v>}' -H 'Content-Type: application/json' &amp;&amp;</v>
      </c>
      <c r="O17" s="5" t="str">
        <f aca="false">_xlfn.CONCAT(J17:N17)</f>
        <v>curl -X POST 127.0.0.1:8090/api/collections/provinces/records -d '{"row":60,"name":"Karabük","trid":"TR78","ske_status":"Yok","start_year":2025,"gender_equality":43,"region":"BATI KARADENİZ","high_schools":"Yok","universities":"Yok"}' -H 'Content-Type: application/json' &amp;&amp;</v>
      </c>
    </row>
    <row r="18" customFormat="false" ht="16.5" hidden="false" customHeight="true" outlineLevel="0" collapsed="false">
      <c r="A18" s="1" t="n">
        <v>29</v>
      </c>
      <c r="B18" s="1" t="s">
        <v>49</v>
      </c>
      <c r="C18" s="1" t="s">
        <v>50</v>
      </c>
      <c r="D18" s="1" t="s">
        <v>11</v>
      </c>
      <c r="E18" s="1" t="n">
        <v>2025</v>
      </c>
      <c r="F18" s="1" t="n">
        <v>28</v>
      </c>
      <c r="G18" s="1" t="s">
        <v>51</v>
      </c>
      <c r="H18" s="1" t="s">
        <v>11</v>
      </c>
      <c r="I18" s="2" t="s">
        <v>11</v>
      </c>
      <c r="J18" s="0" t="s">
        <v>13</v>
      </c>
      <c r="K18" s="0" t="str">
        <f aca="false">_xlfn.CONCAT("""row"":", A18,",""name"":""",B18,""",""trid"":""",C18,""",""ske_status"":""",D18,""",")</f>
        <v>"row":29,"name":"Hatay","trid":"TR31","ske_status":"Aktif",</v>
      </c>
      <c r="L18" s="0" t="str">
        <f aca="false">IF(ISBLANK(E18),"",_xlfn.CONCAT("""start_year"":",E18,","))</f>
        <v>"start_year":2025,</v>
      </c>
      <c r="M18" s="0" t="str">
        <f aca="false">_xlfn.CONCAT("""gender_equality"":",F18,",""region"":""",G18,""",""high_schools"":""",H18,""",""universities"":""",I18,"""")</f>
        <v>"gender_equality":28,"region":"DOĞU AKDENİZ","high_schools":"Aktif","universities":"Aktif"</v>
      </c>
      <c r="N18" s="0" t="str">
        <f aca="false">N17</f>
        <v>}' -H 'Content-Type: application/json' &amp;&amp;</v>
      </c>
      <c r="O18" s="5" t="str">
        <f aca="false">_xlfn.CONCAT(J18:N18)</f>
        <v>curl -X POST 127.0.0.1:8090/api/collections/provinces/records -d '{"row":29,"name":"Hatay","trid":"TR31","ske_status":"Aktif","start_year":2025,"gender_equality":28,"region":"DOĞU AKDENİZ","high_schools":"Aktif","universities":"Aktif"}' -H 'Content-Type: application/json' &amp;&amp;</v>
      </c>
    </row>
    <row r="19" customFormat="false" ht="18" hidden="false" customHeight="true" outlineLevel="0" collapsed="false">
      <c r="A19" s="1" t="n">
        <v>28</v>
      </c>
      <c r="B19" s="1" t="s">
        <v>52</v>
      </c>
      <c r="C19" s="1" t="s">
        <v>53</v>
      </c>
      <c r="D19" s="1" t="s">
        <v>11</v>
      </c>
      <c r="E19" s="1" t="n">
        <v>2025</v>
      </c>
      <c r="F19" s="1" t="n">
        <v>52</v>
      </c>
      <c r="G19" s="1" t="s">
        <v>51</v>
      </c>
      <c r="H19" s="1" t="s">
        <v>11</v>
      </c>
      <c r="I19" s="2" t="s">
        <v>11</v>
      </c>
      <c r="J19" s="0" t="s">
        <v>13</v>
      </c>
      <c r="K19" s="0" t="str">
        <f aca="false">_xlfn.CONCAT("""row"":", A19,",""name"":""",B19,""",""trid"":""",C19,""",""ske_status"":""",D19,""",")</f>
        <v>"row":28,"name":"K. Maraş","trid":"TR46","ske_status":"Aktif",</v>
      </c>
      <c r="L19" s="0" t="str">
        <f aca="false">IF(ISBLANK(E19),"",_xlfn.CONCAT("""start_year"":",E19,","))</f>
        <v>"start_year":2025,</v>
      </c>
      <c r="M19" s="0" t="str">
        <f aca="false">_xlfn.CONCAT("""gender_equality"":",F19,",""region"":""",G19,""",""high_schools"":""",H19,""",""universities"":""",I19,"""")</f>
        <v>"gender_equality":52,"region":"DOĞU AKDENİZ","high_schools":"Aktif","universities":"Aktif"</v>
      </c>
      <c r="N19" s="0" t="str">
        <f aca="false">N18</f>
        <v>}' -H 'Content-Type: application/json' &amp;&amp;</v>
      </c>
      <c r="O19" s="5" t="str">
        <f aca="false">_xlfn.CONCAT(J19:N19)</f>
        <v>curl -X POST 127.0.0.1:8090/api/collections/provinces/records -d '{"row":28,"name":"K. Maraş","trid":"TR46","ske_status":"Aktif","start_year":2025,"gender_equality":52,"region":"DOĞU AKDENİZ","high_schools":"Aktif","universities":"Aktif"}' -H 'Content-Type: application/json' &amp;&amp;</v>
      </c>
    </row>
    <row r="20" customFormat="false" ht="15.75" hidden="false" customHeight="false" outlineLevel="0" collapsed="false">
      <c r="A20" s="1" t="n">
        <v>31</v>
      </c>
      <c r="B20" s="1" t="s">
        <v>54</v>
      </c>
      <c r="C20" s="1" t="s">
        <v>55</v>
      </c>
      <c r="D20" s="1" t="s">
        <v>11</v>
      </c>
      <c r="E20" s="1" t="n">
        <v>2025</v>
      </c>
      <c r="F20" s="1" t="n">
        <v>11</v>
      </c>
      <c r="G20" s="1" t="s">
        <v>51</v>
      </c>
      <c r="H20" s="1" t="s">
        <v>11</v>
      </c>
      <c r="I20" s="2" t="s">
        <v>11</v>
      </c>
      <c r="J20" s="0" t="s">
        <v>13</v>
      </c>
      <c r="K20" s="0" t="str">
        <f aca="false">_xlfn.CONCAT("""row"":", A20,",""name"":""",B20,""",""trid"":""",C20,""",""ske_status"":""",D20,""",")</f>
        <v>"row":31,"name":"Mersin","trid":"TR33","ske_status":"Aktif",</v>
      </c>
      <c r="L20" s="0" t="str">
        <f aca="false">IF(ISBLANK(E20),"",_xlfn.CONCAT("""start_year"":",E20,","))</f>
        <v>"start_year":2025,</v>
      </c>
      <c r="M20" s="0" t="str">
        <f aca="false">_xlfn.CONCAT("""gender_equality"":",F20,",""region"":""",G20,""",""high_schools"":""",H20,""",""universities"":""",I20,"""")</f>
        <v>"gender_equality":11,"region":"DOĞU AKDENİZ","high_schools":"Aktif","universities":"Aktif"</v>
      </c>
      <c r="N20" s="0" t="str">
        <f aca="false">N19</f>
        <v>}' -H 'Content-Type: application/json' &amp;&amp;</v>
      </c>
      <c r="O20" s="5" t="str">
        <f aca="false">_xlfn.CONCAT(J20:N20)</f>
        <v>curl -X POST 127.0.0.1:8090/api/collections/provinces/records -d '{"row":31,"name":"Mersin","trid":"TR33","ske_status":"Aktif","start_year":2025,"gender_equality":11,"region":"DOĞU AKDENİZ","high_schools":"Aktif","universities":"Aktif"}' -H 'Content-Type: application/json' &amp;&amp;</v>
      </c>
    </row>
    <row r="21" customFormat="false" ht="18" hidden="false" customHeight="true" outlineLevel="0" collapsed="false">
      <c r="A21" s="1" t="n">
        <v>21</v>
      </c>
      <c r="B21" s="1" t="s">
        <v>56</v>
      </c>
      <c r="C21" s="1" t="s">
        <v>57</v>
      </c>
      <c r="D21" s="1" t="s">
        <v>11</v>
      </c>
      <c r="E21" s="1" t="n">
        <v>2024</v>
      </c>
      <c r="F21" s="1" t="n">
        <v>22</v>
      </c>
      <c r="G21" s="1" t="s">
        <v>51</v>
      </c>
      <c r="H21" s="1" t="s">
        <v>42</v>
      </c>
      <c r="I21" s="2" t="s">
        <v>11</v>
      </c>
      <c r="J21" s="0" t="s">
        <v>13</v>
      </c>
      <c r="K21" s="0" t="str">
        <f aca="false">_xlfn.CONCAT("""row"":", A21,",""name"":""",B21,""",""trid"":""",C21,""",""ske_status"":""",D21,""",")</f>
        <v>"row":21,"name":"Adana","trid":"TR01","ske_status":"Aktif",</v>
      </c>
      <c r="L21" s="0" t="str">
        <f aca="false">IF(ISBLANK(E21),"",_xlfn.CONCAT("""start_year"":",E21,","))</f>
        <v>"start_year":2024,</v>
      </c>
      <c r="M21" s="0" t="str">
        <f aca="false">_xlfn.CONCAT("""gender_equality"":",F21,",""region"":""",G21,""",""high_schools"":""",H21,""",""universities"":""",I21,"""")</f>
        <v>"gender_equality":22,"region":"DOĞU AKDENİZ","high_schools":"Yok","universities":"Aktif"</v>
      </c>
      <c r="N21" s="0" t="str">
        <f aca="false">N20</f>
        <v>}' -H 'Content-Type: application/json' &amp;&amp;</v>
      </c>
      <c r="O21" s="5" t="str">
        <f aca="false">_xlfn.CONCAT(J21:N21)</f>
        <v>curl -X POST 127.0.0.1:8090/api/collections/provinces/records -d '{"row":21,"name":"Adana","trid":"TR01","ske_status":"Aktif","start_year":2024,"gender_equality":22,"region":"DOĞU AKDENİZ","high_schools":"Yok","universities":"Aktif"}' -H 'Content-Type: application/json' &amp;&amp;</v>
      </c>
    </row>
    <row r="22" customFormat="false" ht="15.75" hidden="false" customHeight="false" outlineLevel="0" collapsed="false">
      <c r="A22" s="1" t="n">
        <v>71</v>
      </c>
      <c r="B22" s="1" t="s">
        <v>58</v>
      </c>
      <c r="C22" s="1" t="s">
        <v>59</v>
      </c>
      <c r="D22" s="1" t="s">
        <v>42</v>
      </c>
      <c r="F22" s="1" t="n">
        <v>19</v>
      </c>
      <c r="G22" s="1" t="s">
        <v>51</v>
      </c>
      <c r="H22" s="1" t="s">
        <v>42</v>
      </c>
      <c r="I22" s="2" t="s">
        <v>11</v>
      </c>
      <c r="J22" s="0" t="s">
        <v>13</v>
      </c>
      <c r="K22" s="0" t="str">
        <f aca="false">_xlfn.CONCAT("""row"":", A22,",""name"":""",B22,""",""trid"":""",C22,""",""ske_status"":""",D22,""",")</f>
        <v>"row":71,"name":"Osmaniye","trid":"TR80","ske_status":"Yok",</v>
      </c>
      <c r="L22" s="0" t="str">
        <f aca="false">IF(ISBLANK(E22),"",_xlfn.CONCAT("""start_year"":",E22,","))</f>
        <v/>
      </c>
      <c r="M22" s="0" t="str">
        <f aca="false">_xlfn.CONCAT("""gender_equality"":",F22,",""region"":""",G22,""",""high_schools"":""",H22,""",""universities"":""",I22,"""")</f>
        <v>"gender_equality":19,"region":"DOĞU AKDENİZ","high_schools":"Yok","universities":"Aktif"</v>
      </c>
      <c r="N22" s="0" t="str">
        <f aca="false">N21</f>
        <v>}' -H 'Content-Type: application/json' &amp;&amp;</v>
      </c>
      <c r="O22" s="5" t="str">
        <f aca="false">_xlfn.CONCAT(J22:N22)</f>
        <v>curl -X POST 127.0.0.1:8090/api/collections/provinces/records -d '{"row":71,"name":"Osmaniye","trid":"TR80","ske_status":"Yok","gender_equality":19,"region":"DOĞU AKDENİZ","high_schools":"Yok","universities":"Aktif"}' -H 'Content-Type: application/json' &amp;&amp;</v>
      </c>
    </row>
    <row r="23" customFormat="false" ht="18" hidden="false" customHeight="true" outlineLevel="0" collapsed="false">
      <c r="A23" s="1" t="n">
        <v>18</v>
      </c>
      <c r="B23" s="1" t="s">
        <v>60</v>
      </c>
      <c r="C23" s="1" t="s">
        <v>61</v>
      </c>
      <c r="D23" s="1" t="s">
        <v>11</v>
      </c>
      <c r="E23" s="1" t="n">
        <v>2024</v>
      </c>
      <c r="F23" s="1" t="n">
        <v>72</v>
      </c>
      <c r="G23" s="1" t="s">
        <v>62</v>
      </c>
      <c r="H23" s="1" t="s">
        <v>11</v>
      </c>
      <c r="I23" s="2" t="s">
        <v>11</v>
      </c>
      <c r="J23" s="0" t="s">
        <v>13</v>
      </c>
      <c r="K23" s="0" t="str">
        <f aca="false">_xlfn.CONCAT("""row"":", A23,",""name"":""",B23,""",""trid"":""",C23,""",""ske_status"":""",D23,""",")</f>
        <v>"row":18,"name":"Erzurum","trid":"TR25","ske_status":"Aktif",</v>
      </c>
      <c r="L23" s="0" t="str">
        <f aca="false">IF(ISBLANK(E23),"",_xlfn.CONCAT("""start_year"":",E23,","))</f>
        <v>"start_year":2024,</v>
      </c>
      <c r="M23" s="0" t="str">
        <f aca="false">_xlfn.CONCAT("""gender_equality"":",F23,",""region"":""",G23,""",""high_schools"":""",H23,""",""universities"":""",I23,"""")</f>
        <v>"gender_equality":72,"region":"DOĞU ANADOLU","high_schools":"Aktif","universities":"Aktif"</v>
      </c>
      <c r="N23" s="0" t="str">
        <f aca="false">N22</f>
        <v>}' -H 'Content-Type: application/json' &amp;&amp;</v>
      </c>
      <c r="O23" s="5" t="str">
        <f aca="false">_xlfn.CONCAT(J23:N23)</f>
        <v>curl -X POST 127.0.0.1:8090/api/collections/provinces/records -d '{"row":18,"name":"Erzurum","trid":"TR25","ske_status":"Aktif","start_year":2024,"gender_equality":72,"region":"DOĞU ANADOLU","high_schools":"Aktif","universities":"Aktif"}' -H 'Content-Type: application/json' &amp;&amp;</v>
      </c>
    </row>
    <row r="24" customFormat="false" ht="15.75" hidden="false" customHeight="false" outlineLevel="0" collapsed="false">
      <c r="A24" s="1" t="n">
        <v>22</v>
      </c>
      <c r="B24" s="1" t="s">
        <v>63</v>
      </c>
      <c r="C24" s="1" t="s">
        <v>64</v>
      </c>
      <c r="D24" s="1" t="s">
        <v>11</v>
      </c>
      <c r="E24" s="1" t="n">
        <v>2024</v>
      </c>
      <c r="F24" s="1" t="n">
        <v>46</v>
      </c>
      <c r="G24" s="1" t="s">
        <v>62</v>
      </c>
      <c r="H24" s="1" t="s">
        <v>11</v>
      </c>
      <c r="I24" s="2" t="s">
        <v>11</v>
      </c>
      <c r="J24" s="0" t="s">
        <v>13</v>
      </c>
      <c r="K24" s="0" t="str">
        <f aca="false">_xlfn.CONCAT("""row"":", A24,",""name"":""",B24,""",""trid"":""",C24,""",""ske_status"":""",D24,""",")</f>
        <v>"row":22,"name":"Kars","trid":"TR36","ske_status":"Aktif",</v>
      </c>
      <c r="L24" s="0" t="str">
        <f aca="false">IF(ISBLANK(E24),"",_xlfn.CONCAT("""start_year"":",E24,","))</f>
        <v>"start_year":2024,</v>
      </c>
      <c r="M24" s="0" t="str">
        <f aca="false">_xlfn.CONCAT("""gender_equality"":",F24,",""region"":""",G24,""",""high_schools"":""",H24,""",""universities"":""",I24,"""")</f>
        <v>"gender_equality":46,"region":"DOĞU ANADOLU","high_schools":"Aktif","universities":"Aktif"</v>
      </c>
      <c r="N24" s="0" t="str">
        <f aca="false">N23</f>
        <v>}' -H 'Content-Type: application/json' &amp;&amp;</v>
      </c>
      <c r="O24" s="5" t="str">
        <f aca="false">_xlfn.CONCAT(J24:N24)</f>
        <v>curl -X POST 127.0.0.1:8090/api/collections/provinces/records -d '{"row":22,"name":"Kars","trid":"TR36","ske_status":"Aktif","start_year":2024,"gender_equality":46,"region":"DOĞU ANADOLU","high_schools":"Aktif","universities":"Aktif"}' -H 'Content-Type: application/json' &amp;&amp;</v>
      </c>
    </row>
    <row r="25" customFormat="false" ht="15.75" hidden="false" customHeight="false" outlineLevel="0" collapsed="false">
      <c r="A25" s="1" t="n">
        <v>52</v>
      </c>
      <c r="B25" s="1" t="s">
        <v>65</v>
      </c>
      <c r="C25" s="1" t="s">
        <v>66</v>
      </c>
      <c r="D25" s="1" t="s">
        <v>42</v>
      </c>
      <c r="F25" s="1" t="n">
        <v>62</v>
      </c>
      <c r="G25" s="1" t="s">
        <v>62</v>
      </c>
      <c r="H25" s="1" t="s">
        <v>11</v>
      </c>
      <c r="I25" s="2" t="s">
        <v>11</v>
      </c>
      <c r="J25" s="0" t="s">
        <v>13</v>
      </c>
      <c r="K25" s="0" t="str">
        <f aca="false">_xlfn.CONCAT("""row"":", A25,",""name"":""",B25,""",""trid"":""",C25,""",""ske_status"":""",D25,""",")</f>
        <v>"row":52,"name":"Elazığ","trid":"TR23","ske_status":"Yok",</v>
      </c>
      <c r="L25" s="0" t="str">
        <f aca="false">IF(ISBLANK(E25),"",_xlfn.CONCAT("""start_year"":",E25,","))</f>
        <v/>
      </c>
      <c r="M25" s="0" t="str">
        <f aca="false">_xlfn.CONCAT("""gender_equality"":",F25,",""region"":""",G25,""",""high_schools"":""",H25,""",""universities"":""",I25,"""")</f>
        <v>"gender_equality":62,"region":"DOĞU ANADOLU","high_schools":"Aktif","universities":"Aktif"</v>
      </c>
      <c r="N25" s="0" t="str">
        <f aca="false">N24</f>
        <v>}' -H 'Content-Type: application/json' &amp;&amp;</v>
      </c>
      <c r="O25" s="5" t="str">
        <f aca="false">_xlfn.CONCAT(J25:N25)</f>
        <v>curl -X POST 127.0.0.1:8090/api/collections/provinces/records -d '{"row":52,"name":"Elazığ","trid":"TR23","ske_status":"Yok","gender_equality":62,"region":"DOĞU ANADOLU","high_schools":"Aktif","universities":"Aktif"}' -H 'Content-Type: application/json' &amp;&amp;</v>
      </c>
    </row>
    <row r="26" customFormat="false" ht="15.75" hidden="false" customHeight="false" outlineLevel="0" collapsed="false">
      <c r="A26" s="1" t="n">
        <v>53</v>
      </c>
      <c r="B26" s="1" t="s">
        <v>67</v>
      </c>
      <c r="C26" s="1" t="s">
        <v>68</v>
      </c>
      <c r="D26" s="1" t="s">
        <v>42</v>
      </c>
      <c r="F26" s="1" t="n">
        <v>45</v>
      </c>
      <c r="G26" s="1" t="s">
        <v>62</v>
      </c>
      <c r="H26" s="1" t="s">
        <v>11</v>
      </c>
      <c r="I26" s="2" t="s">
        <v>11</v>
      </c>
      <c r="J26" s="0" t="s">
        <v>13</v>
      </c>
      <c r="K26" s="0" t="str">
        <f aca="false">_xlfn.CONCAT("""row"":", A26,",""name"":""",B26,""",""trid"":""",C26,""",""ske_status"":""",D26,""",")</f>
        <v>"row":53,"name":"Erzincan","trid":"TR24","ske_status":"Yok",</v>
      </c>
      <c r="L26" s="0" t="str">
        <f aca="false">IF(ISBLANK(E26),"",_xlfn.CONCAT("""start_year"":",E26,","))</f>
        <v/>
      </c>
      <c r="M26" s="0" t="str">
        <f aca="false">_xlfn.CONCAT("""gender_equality"":",F26,",""region"":""",G26,""",""high_schools"":""",H26,""",""universities"":""",I26,"""")</f>
        <v>"gender_equality":45,"region":"DOĞU ANADOLU","high_schools":"Aktif","universities":"Aktif"</v>
      </c>
      <c r="N26" s="0" t="str">
        <f aca="false">N25</f>
        <v>}' -H 'Content-Type: application/json' &amp;&amp;</v>
      </c>
      <c r="O26" s="5" t="str">
        <f aca="false">_xlfn.CONCAT(J26:N26)</f>
        <v>curl -X POST 127.0.0.1:8090/api/collections/provinces/records -d '{"row":53,"name":"Erzincan","trid":"TR24","ske_status":"Yok","gender_equality":45,"region":"DOĞU ANADOLU","high_schools":"Aktif","universities":"Aktif"}' -H 'Content-Type: application/json' &amp;&amp;</v>
      </c>
    </row>
    <row r="27" customFormat="false" ht="15" hidden="false" customHeight="true" outlineLevel="0" collapsed="false">
      <c r="A27" s="1" t="n">
        <v>56</v>
      </c>
      <c r="B27" s="1" t="s">
        <v>69</v>
      </c>
      <c r="C27" s="1" t="s">
        <v>70</v>
      </c>
      <c r="D27" s="1" t="s">
        <v>42</v>
      </c>
      <c r="F27" s="1" t="n">
        <v>41</v>
      </c>
      <c r="G27" s="1" t="s">
        <v>62</v>
      </c>
      <c r="H27" s="1" t="s">
        <v>11</v>
      </c>
      <c r="I27" s="2" t="s">
        <v>11</v>
      </c>
      <c r="J27" s="0" t="s">
        <v>13</v>
      </c>
      <c r="K27" s="0" t="str">
        <f aca="false">_xlfn.CONCAT("""row"":", A27,",""name"":""",B27,""",""trid"":""",C27,""",""ske_status"":""",D27,""",")</f>
        <v>"row":56,"name":"Hakkari","trid":"TR30","ske_status":"Yok",</v>
      </c>
      <c r="L27" s="0" t="str">
        <f aca="false">IF(ISBLANK(E27),"",_xlfn.CONCAT("""start_year"":",E27,","))</f>
        <v/>
      </c>
      <c r="M27" s="0" t="str">
        <f aca="false">_xlfn.CONCAT("""gender_equality"":",F27,",""region"":""",G27,""",""high_schools"":""",H27,""",""universities"":""",I27,"""")</f>
        <v>"gender_equality":41,"region":"DOĞU ANADOLU","high_schools":"Aktif","universities":"Aktif"</v>
      </c>
      <c r="N27" s="0" t="str">
        <f aca="false">N26</f>
        <v>}' -H 'Content-Type: application/json' &amp;&amp;</v>
      </c>
      <c r="O27" s="5" t="str">
        <f aca="false">_xlfn.CONCAT(J27:N27)</f>
        <v>curl -X POST 127.0.0.1:8090/api/collections/provinces/records -d '{"row":56,"name":"Hakkari","trid":"TR30","ske_status":"Yok","gender_equality":41,"region":"DOĞU ANADOLU","high_schools":"Aktif","universities":"Aktif"}' -H 'Content-Type: application/json' &amp;&amp;</v>
      </c>
    </row>
    <row r="28" customFormat="false" ht="15.75" hidden="false" customHeight="false" outlineLevel="0" collapsed="false">
      <c r="A28" s="1" t="n">
        <v>78</v>
      </c>
      <c r="B28" s="1" t="s">
        <v>71</v>
      </c>
      <c r="C28" s="1" t="s">
        <v>72</v>
      </c>
      <c r="D28" s="1" t="s">
        <v>42</v>
      </c>
      <c r="F28" s="1" t="n">
        <v>8</v>
      </c>
      <c r="G28" s="1" t="s">
        <v>62</v>
      </c>
      <c r="H28" s="1" t="s">
        <v>11</v>
      </c>
      <c r="I28" s="2" t="s">
        <v>11</v>
      </c>
      <c r="J28" s="0" t="s">
        <v>13</v>
      </c>
      <c r="K28" s="0" t="str">
        <f aca="false">_xlfn.CONCAT("""row"":", A28,",""name"":""",B28,""",""trid"":""",C28,""",""ske_status"":""",D28,""",")</f>
        <v>"row":78,"name":"Tunceli","trid":"TR62","ske_status":"Yok",</v>
      </c>
      <c r="L28" s="0" t="str">
        <f aca="false">IF(ISBLANK(E28),"",_xlfn.CONCAT("""start_year"":",E28,","))</f>
        <v/>
      </c>
      <c r="M28" s="0" t="str">
        <f aca="false">_xlfn.CONCAT("""gender_equality"":",F28,",""region"":""",G28,""",""high_schools"":""",H28,""",""universities"":""",I28,"""")</f>
        <v>"gender_equality":8,"region":"DOĞU ANADOLU","high_schools":"Aktif","universities":"Aktif"</v>
      </c>
      <c r="N28" s="0" t="str">
        <f aca="false">N27</f>
        <v>}' -H 'Content-Type: application/json' &amp;&amp;</v>
      </c>
      <c r="O28" s="5" t="str">
        <f aca="false">_xlfn.CONCAT(J28:N28)</f>
        <v>curl -X POST 127.0.0.1:8090/api/collections/provinces/records -d '{"row":78,"name":"Tunceli","trid":"TR62","ske_status":"Yok","gender_equality":8,"region":"DOĞU ANADOLU","high_schools":"Aktif","universities":"Aktif"}' -H 'Content-Type: application/json' &amp;&amp;</v>
      </c>
    </row>
    <row r="29" customFormat="false" ht="16.5" hidden="false" customHeight="true" outlineLevel="0" collapsed="false">
      <c r="A29" s="1" t="n">
        <v>79</v>
      </c>
      <c r="B29" s="1" t="s">
        <v>73</v>
      </c>
      <c r="C29" s="1" t="s">
        <v>74</v>
      </c>
      <c r="D29" s="1" t="s">
        <v>42</v>
      </c>
      <c r="F29" s="1" t="n">
        <v>40</v>
      </c>
      <c r="G29" s="1" t="s">
        <v>62</v>
      </c>
      <c r="H29" s="1" t="s">
        <v>11</v>
      </c>
      <c r="I29" s="2" t="s">
        <v>11</v>
      </c>
      <c r="J29" s="0" t="s">
        <v>13</v>
      </c>
      <c r="K29" s="0" t="str">
        <f aca="false">_xlfn.CONCAT("""row"":", A29,",""name"":""",B29,""",""trid"":""",C29,""",""ske_status"":""",D29,""",")</f>
        <v>"row":79,"name":"Van","trid":"TR65","ske_status":"Yok",</v>
      </c>
      <c r="L29" s="0" t="str">
        <f aca="false">IF(ISBLANK(E29),"",_xlfn.CONCAT("""start_year"":",E29,","))</f>
        <v/>
      </c>
      <c r="M29" s="0" t="str">
        <f aca="false">_xlfn.CONCAT("""gender_equality"":",F29,",""region"":""",G29,""",""high_schools"":""",H29,""",""universities"":""",I29,"""")</f>
        <v>"gender_equality":40,"region":"DOĞU ANADOLU","high_schools":"Aktif","universities":"Aktif"</v>
      </c>
      <c r="N29" s="0" t="str">
        <f aca="false">N28</f>
        <v>}' -H 'Content-Type: application/json' &amp;&amp;</v>
      </c>
      <c r="O29" s="5" t="str">
        <f aca="false">_xlfn.CONCAT(J29:N29)</f>
        <v>curl -X POST 127.0.0.1:8090/api/collections/provinces/records -d '{"row":79,"name":"Van","trid":"TR65","ske_status":"Yok","gender_equality":40,"region":"DOĞU ANADOLU","high_schools":"Aktif","universities":"Aktif"}' -H 'Content-Type: application/json' &amp;&amp;</v>
      </c>
    </row>
    <row r="30" customFormat="false" ht="15" hidden="false" customHeight="true" outlineLevel="0" collapsed="false">
      <c r="A30" s="1" t="n">
        <v>39</v>
      </c>
      <c r="B30" s="1" t="s">
        <v>75</v>
      </c>
      <c r="C30" s="1" t="s">
        <v>76</v>
      </c>
      <c r="D30" s="1" t="s">
        <v>42</v>
      </c>
      <c r="F30" s="1" t="n">
        <v>57</v>
      </c>
      <c r="G30" s="1" t="s">
        <v>62</v>
      </c>
      <c r="H30" s="1" t="s">
        <v>42</v>
      </c>
      <c r="I30" s="2" t="s">
        <v>11</v>
      </c>
      <c r="J30" s="0" t="s">
        <v>13</v>
      </c>
      <c r="K30" s="0" t="str">
        <f aca="false">_xlfn.CONCAT("""row"":", A30,",""name"":""",B30,""",""trid"":""",C30,""",""ske_status"":""",D30,""",")</f>
        <v>"row":39,"name":"Ağrı","trid":"TR04","ske_status":"Yok",</v>
      </c>
      <c r="L30" s="0" t="str">
        <f aca="false">IF(ISBLANK(E30),"",_xlfn.CONCAT("""start_year"":",E30,","))</f>
        <v/>
      </c>
      <c r="M30" s="0" t="str">
        <f aca="false">_xlfn.CONCAT("""gender_equality"":",F30,",""region"":""",G30,""",""high_schools"":""",H30,""",""universities"":""",I30,"""")</f>
        <v>"gender_equality":57,"region":"DOĞU ANADOLU","high_schools":"Yok","universities":"Aktif"</v>
      </c>
      <c r="N30" s="0" t="str">
        <f aca="false">N29</f>
        <v>}' -H 'Content-Type: application/json' &amp;&amp;</v>
      </c>
      <c r="O30" s="5" t="str">
        <f aca="false">_xlfn.CONCAT(J30:N30)</f>
        <v>curl -X POST 127.0.0.1:8090/api/collections/provinces/records -d '{"row":39,"name":"Ağrı","trid":"TR04","ske_status":"Yok","gender_equality":57,"region":"DOĞU ANADOLU","high_schools":"Yok","universities":"Aktif"}' -H 'Content-Type: application/json' &amp;&amp;</v>
      </c>
    </row>
    <row r="31" customFormat="false" ht="18" hidden="false" customHeight="true" outlineLevel="0" collapsed="false">
      <c r="A31" s="1" t="n">
        <v>42</v>
      </c>
      <c r="B31" s="1" t="s">
        <v>77</v>
      </c>
      <c r="C31" s="1" t="s">
        <v>78</v>
      </c>
      <c r="D31" s="1" t="s">
        <v>42</v>
      </c>
      <c r="F31" s="1" t="n">
        <v>71</v>
      </c>
      <c r="G31" s="1" t="s">
        <v>62</v>
      </c>
      <c r="H31" s="1" t="s">
        <v>42</v>
      </c>
      <c r="I31" s="2" t="s">
        <v>11</v>
      </c>
      <c r="J31" s="0" t="s">
        <v>13</v>
      </c>
      <c r="K31" s="0" t="str">
        <f aca="false">_xlfn.CONCAT("""row"":", A31,",""name"":""",B31,""",""trid"":""",C31,""",""ske_status"":""",D31,""",")</f>
        <v>"row":42,"name":"Ardahan","trid":"TR75","ske_status":"Yok",</v>
      </c>
      <c r="L31" s="0" t="str">
        <f aca="false">IF(ISBLANK(E31),"",_xlfn.CONCAT("""start_year"":",E31,","))</f>
        <v/>
      </c>
      <c r="M31" s="0" t="str">
        <f aca="false">_xlfn.CONCAT("""gender_equality"":",F31,",""region"":""",G31,""",""high_schools"":""",H31,""",""universities"":""",I31,"""")</f>
        <v>"gender_equality":71,"region":"DOĞU ANADOLU","high_schools":"Yok","universities":"Aktif"</v>
      </c>
      <c r="N31" s="0" t="str">
        <f aca="false">N30</f>
        <v>}' -H 'Content-Type: application/json' &amp;&amp;</v>
      </c>
      <c r="O31" s="5" t="str">
        <f aca="false">_xlfn.CONCAT(J31:N31)</f>
        <v>curl -X POST 127.0.0.1:8090/api/collections/provinces/records -d '{"row":42,"name":"Ardahan","trid":"TR75","ske_status":"Yok","gender_equality":71,"region":"DOĞU ANADOLU","high_schools":"Yok","universities":"Aktif"}' -H 'Content-Type: application/json' &amp;&amp;</v>
      </c>
    </row>
    <row r="32" customFormat="false" ht="15.75" hidden="false" customHeight="false" outlineLevel="0" collapsed="false">
      <c r="A32" s="1" t="n">
        <v>47</v>
      </c>
      <c r="B32" s="1" t="s">
        <v>79</v>
      </c>
      <c r="C32" s="1" t="s">
        <v>80</v>
      </c>
      <c r="D32" s="1" t="s">
        <v>42</v>
      </c>
      <c r="F32" s="1" t="n">
        <v>80</v>
      </c>
      <c r="G32" s="1" t="s">
        <v>62</v>
      </c>
      <c r="H32" s="1" t="s">
        <v>42</v>
      </c>
      <c r="I32" s="2" t="s">
        <v>11</v>
      </c>
      <c r="J32" s="0" t="s">
        <v>13</v>
      </c>
      <c r="K32" s="0" t="str">
        <f aca="false">_xlfn.CONCAT("""row"":", A32,",""name"":""",B32,""",""trid"":""",C32,""",""ske_status"":""",D32,""",")</f>
        <v>"row":47,"name":"Bingöl","trid":"TR12","ske_status":"Yok",</v>
      </c>
      <c r="L32" s="0" t="str">
        <f aca="false">IF(ISBLANK(E32),"",_xlfn.CONCAT("""start_year"":",E32,","))</f>
        <v/>
      </c>
      <c r="M32" s="0" t="str">
        <f aca="false">_xlfn.CONCAT("""gender_equality"":",F32,",""region"":""",G32,""",""high_schools"":""",H32,""",""universities"":""",I32,"""")</f>
        <v>"gender_equality":80,"region":"DOĞU ANADOLU","high_schools":"Yok","universities":"Aktif"</v>
      </c>
      <c r="N32" s="0" t="str">
        <f aca="false">N31</f>
        <v>}' -H 'Content-Type: application/json' &amp;&amp;</v>
      </c>
      <c r="O32" s="5" t="str">
        <f aca="false">_xlfn.CONCAT(J32:N32)</f>
        <v>curl -X POST 127.0.0.1:8090/api/collections/provinces/records -d '{"row":47,"name":"Bingöl","trid":"TR12","ske_status":"Yok","gender_equality":80,"region":"DOĞU ANADOLU","high_schools":"Yok","universities":"Aktif"}' -H 'Content-Type: application/json' &amp;&amp;</v>
      </c>
    </row>
    <row r="33" customFormat="false" ht="15.75" hidden="false" customHeight="true" outlineLevel="0" collapsed="false">
      <c r="A33" s="1" t="n">
        <v>48</v>
      </c>
      <c r="B33" s="1" t="s">
        <v>81</v>
      </c>
      <c r="C33" s="1" t="s">
        <v>82</v>
      </c>
      <c r="D33" s="1" t="s">
        <v>11</v>
      </c>
      <c r="F33" s="1" t="n">
        <v>76</v>
      </c>
      <c r="G33" s="1" t="s">
        <v>62</v>
      </c>
      <c r="H33" s="1" t="s">
        <v>11</v>
      </c>
      <c r="I33" s="2" t="s">
        <v>11</v>
      </c>
      <c r="J33" s="0" t="s">
        <v>13</v>
      </c>
      <c r="K33" s="0" t="str">
        <f aca="false">_xlfn.CONCAT("""row"":", A33,",""name"":""",B33,""",""trid"":""",C33,""",""ske_status"":""",D33,""",")</f>
        <v>"row":48,"name":"Bitlis","trid":"TR13","ske_status":"Aktif",</v>
      </c>
      <c r="L33" s="0" t="str">
        <f aca="false">IF(ISBLANK(E33),"",_xlfn.CONCAT("""start_year"":",E33,","))</f>
        <v/>
      </c>
      <c r="M33" s="0" t="str">
        <f aca="false">_xlfn.CONCAT("""gender_equality"":",F33,",""region"":""",G33,""",""high_schools"":""",H33,""",""universities"":""",I33,"""")</f>
        <v>"gender_equality":76,"region":"DOĞU ANADOLU","high_schools":"Aktif","universities":"Aktif"</v>
      </c>
      <c r="N33" s="0" t="str">
        <f aca="false">N32</f>
        <v>}' -H 'Content-Type: application/json' &amp;&amp;</v>
      </c>
      <c r="O33" s="5" t="str">
        <f aca="false">_xlfn.CONCAT(J33:N33)</f>
        <v>curl -X POST 127.0.0.1:8090/api/collections/provinces/records -d '{"row":48,"name":"Bitlis","trid":"TR13","ske_status":"Aktif","gender_equality":76,"region":"DOĞU ANADOLU","high_schools":"Aktif","universities":"Aktif"}' -H 'Content-Type: application/json' &amp;&amp;</v>
      </c>
    </row>
    <row r="34" customFormat="false" ht="15.75" hidden="false" customHeight="true" outlineLevel="0" collapsed="false">
      <c r="A34" s="1" t="n">
        <v>57</v>
      </c>
      <c r="B34" s="1" t="s">
        <v>83</v>
      </c>
      <c r="C34" s="1" t="s">
        <v>84</v>
      </c>
      <c r="D34" s="1" t="s">
        <v>42</v>
      </c>
      <c r="F34" s="1" t="n">
        <v>13</v>
      </c>
      <c r="G34" s="1" t="s">
        <v>62</v>
      </c>
      <c r="H34" s="1" t="s">
        <v>42</v>
      </c>
      <c r="I34" s="2" t="s">
        <v>11</v>
      </c>
      <c r="J34" s="0" t="s">
        <v>13</v>
      </c>
      <c r="K34" s="0" t="str">
        <f aca="false">_xlfn.CONCAT("""row"":", A34,",""name"":""",B34,""",""trid"":""",C34,""",""ske_status"":""",D34,""",")</f>
        <v>"row":57,"name":"Iğdır","trid":"TR76","ske_status":"Yok",</v>
      </c>
      <c r="L34" s="0" t="str">
        <f aca="false">IF(ISBLANK(E34),"",_xlfn.CONCAT("""start_year"":",E34,","))</f>
        <v/>
      </c>
      <c r="M34" s="0" t="str">
        <f aca="false">_xlfn.CONCAT("""gender_equality"":",F34,",""region"":""",G34,""",""high_schools"":""",H34,""",""universities"":""",I34,"""")</f>
        <v>"gender_equality":13,"region":"DOĞU ANADOLU","high_schools":"Yok","universities":"Aktif"</v>
      </c>
      <c r="N34" s="0" t="str">
        <f aca="false">N33</f>
        <v>}' -H 'Content-Type: application/json' &amp;&amp;</v>
      </c>
      <c r="O34" s="5" t="str">
        <f aca="false">_xlfn.CONCAT(J34:N34)</f>
        <v>curl -X POST 127.0.0.1:8090/api/collections/provinces/records -d '{"row":57,"name":"Iğdır","trid":"TR76","ske_status":"Yok","gender_equality":13,"region":"DOĞU ANADOLU","high_schools":"Yok","universities":"Aktif"}' -H 'Content-Type: application/json' &amp;&amp;</v>
      </c>
    </row>
    <row r="35" customFormat="false" ht="15.75" hidden="false" customHeight="true" outlineLevel="0" collapsed="false">
      <c r="A35" s="1" t="n">
        <v>69</v>
      </c>
      <c r="B35" s="1" t="s">
        <v>85</v>
      </c>
      <c r="C35" s="1" t="s">
        <v>86</v>
      </c>
      <c r="D35" s="1" t="s">
        <v>42</v>
      </c>
      <c r="F35" s="1" t="n">
        <v>81</v>
      </c>
      <c r="G35" s="1" t="s">
        <v>62</v>
      </c>
      <c r="H35" s="1" t="s">
        <v>42</v>
      </c>
      <c r="I35" s="2" t="s">
        <v>11</v>
      </c>
      <c r="J35" s="0" t="s">
        <v>13</v>
      </c>
      <c r="K35" s="0" t="str">
        <f aca="false">_xlfn.CONCAT("""row"":", A35,",""name"":""",B35,""",""trid"":""",C35,""",""ske_status"":""",D35,""",")</f>
        <v>"row":69,"name":"Muş","trid":"TR49","ske_status":"Yok",</v>
      </c>
      <c r="L35" s="0" t="str">
        <f aca="false">IF(ISBLANK(E35),"",_xlfn.CONCAT("""start_year"":",E35,","))</f>
        <v/>
      </c>
      <c r="M35" s="0" t="str">
        <f aca="false">_xlfn.CONCAT("""gender_equality"":",F35,",""region"":""",G35,""",""high_schools"":""",H35,""",""universities"":""",I35,"""")</f>
        <v>"gender_equality":81,"region":"DOĞU ANADOLU","high_schools":"Yok","universities":"Aktif"</v>
      </c>
      <c r="N35" s="0" t="str">
        <f aca="false">N34</f>
        <v>}' -H 'Content-Type: application/json' &amp;&amp;</v>
      </c>
      <c r="O35" s="5" t="str">
        <f aca="false">_xlfn.CONCAT(J35:N35)</f>
        <v>curl -X POST 127.0.0.1:8090/api/collections/provinces/records -d '{"row":69,"name":"Muş","trid":"TR49","ske_status":"Yok","gender_equality":81,"region":"DOĞU ANADOLU","high_schools":"Yok","universities":"Aktif"}' -H 'Content-Type: application/json' &amp;&amp;</v>
      </c>
    </row>
    <row r="36" customFormat="false" ht="18" hidden="false" customHeight="true" outlineLevel="0" collapsed="false">
      <c r="A36" s="1" t="n">
        <v>20</v>
      </c>
      <c r="B36" s="1" t="s">
        <v>87</v>
      </c>
      <c r="C36" s="1" t="s">
        <v>88</v>
      </c>
      <c r="D36" s="1" t="s">
        <v>11</v>
      </c>
      <c r="E36" s="1" t="n">
        <v>2025</v>
      </c>
      <c r="F36" s="1" t="n">
        <v>24</v>
      </c>
      <c r="G36" s="1" t="s">
        <v>89</v>
      </c>
      <c r="H36" s="1" t="s">
        <v>11</v>
      </c>
      <c r="I36" s="2" t="s">
        <v>11</v>
      </c>
      <c r="J36" s="0" t="s">
        <v>13</v>
      </c>
      <c r="K36" s="0" t="str">
        <f aca="false">_xlfn.CONCAT("""row"":", A36,",""name"":""",B36,""",""trid"":""",C36,""",""ske_status"":""",D36,""",")</f>
        <v>"row":20,"name":"Ordu","trid":"TR52","ske_status":"Aktif",</v>
      </c>
      <c r="L36" s="0" t="str">
        <f aca="false">IF(ISBLANK(E36),"",_xlfn.CONCAT("""start_year"":",E36,","))</f>
        <v>"start_year":2025,</v>
      </c>
      <c r="M36" s="0" t="str">
        <f aca="false">_xlfn.CONCAT("""gender_equality"":",F36,",""region"":""",G36,""",""high_schools"":""",H36,""",""universities"":""",I36,"""")</f>
        <v>"gender_equality":24,"region":"DOĞU KARADENİZ","high_schools":"Aktif","universities":"Aktif"</v>
      </c>
      <c r="N36" s="0" t="str">
        <f aca="false">N35</f>
        <v>}' -H 'Content-Type: application/json' &amp;&amp;</v>
      </c>
      <c r="O36" s="5" t="str">
        <f aca="false">_xlfn.CONCAT(J36:N36)</f>
        <v>curl -X POST 127.0.0.1:8090/api/collections/provinces/records -d '{"row":20,"name":"Ordu","trid":"TR52","ske_status":"Aktif","start_year":2025,"gender_equality":24,"region":"DOĞU KARADENİZ","high_schools":"Aktif","universities":"Aktif"}' -H 'Content-Type: application/json' &amp;&amp;</v>
      </c>
    </row>
    <row r="37" customFormat="false" ht="18" hidden="false" customHeight="true" outlineLevel="0" collapsed="false">
      <c r="A37" s="1" t="n">
        <v>54</v>
      </c>
      <c r="B37" s="1" t="s">
        <v>90</v>
      </c>
      <c r="C37" s="1" t="s">
        <v>91</v>
      </c>
      <c r="D37" s="1" t="s">
        <v>22</v>
      </c>
      <c r="F37" s="1" t="n">
        <v>44</v>
      </c>
      <c r="G37" s="1" t="s">
        <v>89</v>
      </c>
      <c r="H37" s="1" t="s">
        <v>11</v>
      </c>
      <c r="I37" s="2" t="s">
        <v>11</v>
      </c>
      <c r="J37" s="0" t="s">
        <v>13</v>
      </c>
      <c r="K37" s="0" t="str">
        <f aca="false">_xlfn.CONCAT("""row"":", A37,",""name"":""",B37,""",""trid"":""",C37,""",""ske_status"":""",D37,""",")</f>
        <v>"row":54,"name":"Giresun","trid":"TR28","ske_status":"Planlıyor",</v>
      </c>
      <c r="L37" s="0" t="str">
        <f aca="false">IF(ISBLANK(E37),"",_xlfn.CONCAT("""start_year"":",E37,","))</f>
        <v/>
      </c>
      <c r="M37" s="0" t="str">
        <f aca="false">_xlfn.CONCAT("""gender_equality"":",F37,",""region"":""",G37,""",""high_schools"":""",H37,""",""universities"":""",I37,"""")</f>
        <v>"gender_equality":44,"region":"DOĞU KARADENİZ","high_schools":"Aktif","universities":"Aktif"</v>
      </c>
      <c r="N37" s="0" t="str">
        <f aca="false">N36</f>
        <v>}' -H 'Content-Type: application/json' &amp;&amp;</v>
      </c>
      <c r="O37" s="5" t="str">
        <f aca="false">_xlfn.CONCAT(J37:N37)</f>
        <v>curl -X POST 127.0.0.1:8090/api/collections/provinces/records -d '{"row":54,"name":"Giresun","trid":"TR28","ske_status":"Planlıyor","gender_equality":44,"region":"DOĞU KARADENİZ","high_schools":"Aktif","universities":"Aktif"}' -H 'Content-Type: application/json' &amp;&amp;</v>
      </c>
    </row>
    <row r="38" customFormat="false" ht="19.5" hidden="false" customHeight="true" outlineLevel="0" collapsed="false">
      <c r="A38" s="1" t="n">
        <v>55</v>
      </c>
      <c r="B38" s="1" t="s">
        <v>92</v>
      </c>
      <c r="C38" s="1" t="s">
        <v>93</v>
      </c>
      <c r="D38" s="1" t="s">
        <v>22</v>
      </c>
      <c r="E38" s="1" t="n">
        <v>2025</v>
      </c>
      <c r="F38" s="1" t="n">
        <v>21</v>
      </c>
      <c r="G38" s="1" t="s">
        <v>89</v>
      </c>
      <c r="H38" s="1" t="s">
        <v>11</v>
      </c>
      <c r="I38" s="2" t="s">
        <v>11</v>
      </c>
      <c r="J38" s="0" t="s">
        <v>13</v>
      </c>
      <c r="K38" s="0" t="str">
        <f aca="false">_xlfn.CONCAT("""row"":", A38,",""name"":""",B38,""",""trid"":""",C38,""",""ske_status"":""",D38,""",")</f>
        <v>"row":55,"name":"Gümüşhane","trid":"TR29","ske_status":"Planlıyor",</v>
      </c>
      <c r="L38" s="0" t="str">
        <f aca="false">IF(ISBLANK(E38),"",_xlfn.CONCAT("""start_year"":",E38,","))</f>
        <v>"start_year":2025,</v>
      </c>
      <c r="M38" s="0" t="str">
        <f aca="false">_xlfn.CONCAT("""gender_equality"":",F38,",""region"":""",G38,""",""high_schools"":""",H38,""",""universities"":""",I38,"""")</f>
        <v>"gender_equality":21,"region":"DOĞU KARADENİZ","high_schools":"Aktif","universities":"Aktif"</v>
      </c>
      <c r="N38" s="0" t="str">
        <f aca="false">N37</f>
        <v>}' -H 'Content-Type: application/json' &amp;&amp;</v>
      </c>
      <c r="O38" s="5" t="str">
        <f aca="false">_xlfn.CONCAT(J38:N38)</f>
        <v>curl -X POST 127.0.0.1:8090/api/collections/provinces/records -d '{"row":55,"name":"Gümüşhane","trid":"TR29","ske_status":"Planlıyor","start_year":2025,"gender_equality":21,"region":"DOĞU KARADENİZ","high_schools":"Aktif","universities":"Aktif"}' -H 'Content-Type: application/json' &amp;&amp;</v>
      </c>
    </row>
    <row r="39" customFormat="false" ht="15.75" hidden="false" customHeight="true" outlineLevel="0" collapsed="false">
      <c r="A39" s="1" t="n">
        <v>46</v>
      </c>
      <c r="B39" s="1" t="s">
        <v>94</v>
      </c>
      <c r="C39" s="1" t="s">
        <v>95</v>
      </c>
      <c r="D39" s="1" t="s">
        <v>42</v>
      </c>
      <c r="E39" s="1" t="n">
        <v>2025</v>
      </c>
      <c r="F39" s="1" t="n">
        <v>79</v>
      </c>
      <c r="G39" s="1" t="s">
        <v>89</v>
      </c>
      <c r="H39" s="1" t="s">
        <v>11</v>
      </c>
      <c r="I39" s="2" t="s">
        <v>11</v>
      </c>
      <c r="J39" s="0" t="s">
        <v>13</v>
      </c>
      <c r="K39" s="0" t="str">
        <f aca="false">_xlfn.CONCAT("""row"":", A39,",""name"":""",B39,""",""trid"":""",C39,""",""ske_status"":""",D39,""",")</f>
        <v>"row":46,"name":"Bayburt","trid":"TR69","ske_status":"Yok",</v>
      </c>
      <c r="L39" s="0" t="str">
        <f aca="false">IF(ISBLANK(E39),"",_xlfn.CONCAT("""start_year"":",E39,","))</f>
        <v>"start_year":2025,</v>
      </c>
      <c r="M39" s="0" t="str">
        <f aca="false">_xlfn.CONCAT("""gender_equality"":",F39,",""region"":""",G39,""",""high_schools"":""",H39,""",""universities"":""",I39,"""")</f>
        <v>"gender_equality":79,"region":"DOĞU KARADENİZ","high_schools":"Aktif","universities":"Aktif"</v>
      </c>
      <c r="N39" s="0" t="str">
        <f aca="false">N38</f>
        <v>}' -H 'Content-Type: application/json' &amp;&amp;</v>
      </c>
      <c r="O39" s="5" t="str">
        <f aca="false">_xlfn.CONCAT(J39:N39)</f>
        <v>curl -X POST 127.0.0.1:8090/api/collections/provinces/records -d '{"row":46,"name":"Bayburt","trid":"TR69","ske_status":"Yok","start_year":2025,"gender_equality":79,"region":"DOĞU KARADENİZ","high_schools":"Aktif","universities":"Aktif"}' -H 'Content-Type: application/json' &amp;&amp;</v>
      </c>
    </row>
    <row r="40" customFormat="false" ht="18" hidden="false" customHeight="true" outlineLevel="0" collapsed="false">
      <c r="A40" s="1" t="n">
        <v>72</v>
      </c>
      <c r="B40" s="1" t="s">
        <v>96</v>
      </c>
      <c r="C40" s="1" t="s">
        <v>97</v>
      </c>
      <c r="D40" s="1" t="s">
        <v>42</v>
      </c>
      <c r="F40" s="1" t="n">
        <v>51</v>
      </c>
      <c r="G40" s="1" t="s">
        <v>89</v>
      </c>
      <c r="H40" s="1" t="s">
        <v>11</v>
      </c>
      <c r="I40" s="2" t="s">
        <v>11</v>
      </c>
      <c r="J40" s="0" t="s">
        <v>13</v>
      </c>
      <c r="K40" s="0" t="str">
        <f aca="false">_xlfn.CONCAT("""row"":", A40,",""name"":""",B40,""",""trid"":""",C40,""",""ske_status"":""",D40,""",")</f>
        <v>"row":72,"name":"Rize","trid":"TR53","ske_status":"Yok",</v>
      </c>
      <c r="L40" s="0" t="str">
        <f aca="false">IF(ISBLANK(E40),"",_xlfn.CONCAT("""start_year"":",E40,","))</f>
        <v/>
      </c>
      <c r="M40" s="0" t="str">
        <f aca="false">_xlfn.CONCAT("""gender_equality"":",F40,",""region"":""",G40,""",""high_schools"":""",H40,""",""universities"":""",I40,"""")</f>
        <v>"gender_equality":51,"region":"DOĞU KARADENİZ","high_schools":"Aktif","universities":"Aktif"</v>
      </c>
      <c r="N40" s="0" t="str">
        <f aca="false">N39</f>
        <v>}' -H 'Content-Type: application/json' &amp;&amp;</v>
      </c>
      <c r="O40" s="5" t="str">
        <f aca="false">_xlfn.CONCAT(J40:N40)</f>
        <v>curl -X POST 127.0.0.1:8090/api/collections/provinces/records -d '{"row":72,"name":"Rize","trid":"TR53","ske_status":"Yok","gender_equality":51,"region":"DOĞU KARADENİZ","high_schools":"Aktif","universities":"Aktif"}' -H 'Content-Type: application/json' &amp;&amp;</v>
      </c>
    </row>
    <row r="41" customFormat="false" ht="15.75" hidden="false" customHeight="false" outlineLevel="0" collapsed="false">
      <c r="A41" s="1" t="n">
        <v>77</v>
      </c>
      <c r="B41" s="1" t="s">
        <v>98</v>
      </c>
      <c r="C41" s="1" t="s">
        <v>99</v>
      </c>
      <c r="D41" s="1" t="s">
        <v>42</v>
      </c>
      <c r="F41" s="1" t="n">
        <v>31</v>
      </c>
      <c r="G41" s="1" t="s">
        <v>89</v>
      </c>
      <c r="H41" s="1" t="s">
        <v>11</v>
      </c>
      <c r="I41" s="2" t="s">
        <v>11</v>
      </c>
      <c r="J41" s="0" t="s">
        <v>13</v>
      </c>
      <c r="K41" s="0" t="str">
        <f aca="false">_xlfn.CONCAT("""row"":", A41,",""name"":""",B41,""",""trid"":""",C41,""",""ske_status"":""",D41,""",")</f>
        <v>"row":77,"name":"Trabzon","trid":"TR61","ske_status":"Yok",</v>
      </c>
      <c r="L41" s="0" t="str">
        <f aca="false">IF(ISBLANK(E41),"",_xlfn.CONCAT("""start_year"":",E41,","))</f>
        <v/>
      </c>
      <c r="M41" s="0" t="str">
        <f aca="false">_xlfn.CONCAT("""gender_equality"":",F41,",""region"":""",G41,""",""high_schools"":""",H41,""",""universities"":""",I41,"""")</f>
        <v>"gender_equality":31,"region":"DOĞU KARADENİZ","high_schools":"Aktif","universities":"Aktif"</v>
      </c>
      <c r="N41" s="0" t="str">
        <f aca="false">N40</f>
        <v>}' -H 'Content-Type: application/json' &amp;&amp;</v>
      </c>
      <c r="O41" s="5" t="str">
        <f aca="false">_xlfn.CONCAT(J41:N41)</f>
        <v>curl -X POST 127.0.0.1:8090/api/collections/provinces/records -d '{"row":77,"name":"Trabzon","trid":"TR61","ske_status":"Yok","gender_equality":31,"region":"DOĞU KARADENİZ","high_schools":"Aktif","universities":"Aktif"}' -H 'Content-Type: application/json' &amp;&amp;</v>
      </c>
    </row>
    <row r="42" customFormat="false" ht="15.75" hidden="false" customHeight="false" outlineLevel="0" collapsed="false">
      <c r="A42" s="1" t="n">
        <v>43</v>
      </c>
      <c r="B42" s="1" t="s">
        <v>100</v>
      </c>
      <c r="C42" s="1" t="s">
        <v>101</v>
      </c>
      <c r="D42" s="1" t="s">
        <v>42</v>
      </c>
      <c r="E42" s="1" t="n">
        <v>2025</v>
      </c>
      <c r="F42" s="1" t="n">
        <v>27</v>
      </c>
      <c r="G42" s="1" t="s">
        <v>89</v>
      </c>
      <c r="H42" s="1" t="s">
        <v>42</v>
      </c>
      <c r="I42" s="2" t="s">
        <v>42</v>
      </c>
      <c r="J42" s="0" t="s">
        <v>13</v>
      </c>
      <c r="K42" s="0" t="str">
        <f aca="false">_xlfn.CONCAT("""row"":", A42,",""name"":""",B42,""",""trid"":""",C42,""",""ske_status"":""",D42,""",")</f>
        <v>"row":43,"name":"Artvin","trid":"TR08","ske_status":"Yok",</v>
      </c>
      <c r="L42" s="0" t="str">
        <f aca="false">IF(ISBLANK(E42),"",_xlfn.CONCAT("""start_year"":",E42,","))</f>
        <v>"start_year":2025,</v>
      </c>
      <c r="M42" s="0" t="str">
        <f aca="false">_xlfn.CONCAT("""gender_equality"":",F42,",""region"":""",G42,""",""high_schools"":""",H42,""",""universities"":""",I42,"""")</f>
        <v>"gender_equality":27,"region":"DOĞU KARADENİZ","high_schools":"Yok","universities":"Yok"</v>
      </c>
      <c r="N42" s="0" t="str">
        <f aca="false">N41</f>
        <v>}' -H 'Content-Type: application/json' &amp;&amp;</v>
      </c>
      <c r="O42" s="5" t="str">
        <f aca="false">_xlfn.CONCAT(J42:N42)</f>
        <v>curl -X POST 127.0.0.1:8090/api/collections/provinces/records -d '{"row":43,"name":"Artvin","trid":"TR08","ske_status":"Yok","start_year":2025,"gender_equality":27,"region":"DOĞU KARADENİZ","high_schools":"Yok","universities":"Yok"}' -H 'Content-Type: application/json' &amp;&amp;</v>
      </c>
    </row>
    <row r="43" customFormat="false" ht="15.75" hidden="false" customHeight="false" outlineLevel="0" collapsed="false">
      <c r="A43" s="1" t="n">
        <v>34</v>
      </c>
      <c r="B43" s="1" t="s">
        <v>102</v>
      </c>
      <c r="C43" s="1" t="s">
        <v>103</v>
      </c>
      <c r="D43" s="1" t="s">
        <v>11</v>
      </c>
      <c r="E43" s="1" t="n">
        <v>2025</v>
      </c>
      <c r="F43" s="1" t="n">
        <v>9</v>
      </c>
      <c r="G43" s="1" t="s">
        <v>104</v>
      </c>
      <c r="H43" s="1" t="s">
        <v>11</v>
      </c>
      <c r="I43" s="2" t="s">
        <v>11</v>
      </c>
      <c r="J43" s="0" t="s">
        <v>13</v>
      </c>
      <c r="K43" s="0" t="str">
        <f aca="false">_xlfn.CONCAT("""row"":", A43,",""name"":""",B43,""",""trid"":""",C43,""",""ske_status"":""",D43,""",")</f>
        <v>"row":34,"name":"Aydın","trid":"TR09","ske_status":"Aktif",</v>
      </c>
      <c r="L43" s="0" t="str">
        <f aca="false">IF(ISBLANK(E43),"",_xlfn.CONCAT("""start_year"":",E43,","))</f>
        <v>"start_year":2025,</v>
      </c>
      <c r="M43" s="0" t="str">
        <f aca="false">_xlfn.CONCAT("""gender_equality"":",F43,",""region"":""",G43,""",""high_schools"":""",H43,""",""universities"":""",I43,"""")</f>
        <v>"gender_equality":9,"region":"EGE BÖLGE","high_schools":"Aktif","universities":"Aktif"</v>
      </c>
      <c r="N43" s="0" t="str">
        <f aca="false">N42</f>
        <v>}' -H 'Content-Type: application/json' &amp;&amp;</v>
      </c>
      <c r="O43" s="5" t="str">
        <f aca="false">_xlfn.CONCAT(J43:N43)</f>
        <v>curl -X POST 127.0.0.1:8090/api/collections/provinces/records -d '{"row":34,"name":"Aydın","trid":"TR09","ske_status":"Aktif","start_year":2025,"gender_equality":9,"region":"EGE BÖLGE","high_schools":"Aktif","universities":"Aktif"}' -H 'Content-Type: application/json' &amp;&amp;</v>
      </c>
    </row>
    <row r="44" customFormat="false" ht="15.75" hidden="false" customHeight="true" outlineLevel="0" collapsed="false">
      <c r="A44" s="1" t="n">
        <v>1</v>
      </c>
      <c r="B44" s="1" t="s">
        <v>105</v>
      </c>
      <c r="C44" s="1" t="s">
        <v>106</v>
      </c>
      <c r="D44" s="1" t="s">
        <v>11</v>
      </c>
      <c r="E44" s="1" t="n">
        <v>2021</v>
      </c>
      <c r="F44" s="1" t="n">
        <v>47</v>
      </c>
      <c r="G44" s="1" t="s">
        <v>104</v>
      </c>
      <c r="H44" s="1" t="s">
        <v>11</v>
      </c>
      <c r="I44" s="2" t="s">
        <v>11</v>
      </c>
      <c r="J44" s="0" t="s">
        <v>13</v>
      </c>
      <c r="K44" s="0" t="str">
        <f aca="false">_xlfn.CONCAT("""row"":", A44,",""name"":""",B44,""",""trid"":""",C44,""",""ske_status"":""",D44,""",")</f>
        <v>"row":1,"name":"Kütahya","trid":"TR43","ske_status":"Aktif",</v>
      </c>
      <c r="L44" s="0" t="str">
        <f aca="false">IF(ISBLANK(E44),"",_xlfn.CONCAT("""start_year"":",E44,","))</f>
        <v>"start_year":2021,</v>
      </c>
      <c r="M44" s="0" t="str">
        <f aca="false">_xlfn.CONCAT("""gender_equality"":",F44,",""region"":""",G44,""",""high_schools"":""",H44,""",""universities"":""",I44,"""")</f>
        <v>"gender_equality":47,"region":"EGE BÖLGE","high_schools":"Aktif","universities":"Aktif"</v>
      </c>
      <c r="N44" s="0" t="str">
        <f aca="false">N43</f>
        <v>}' -H 'Content-Type: application/json' &amp;&amp;</v>
      </c>
      <c r="O44" s="5" t="str">
        <f aca="false">_xlfn.CONCAT(J44:N44)</f>
        <v>curl -X POST 127.0.0.1:8090/api/collections/provinces/records -d '{"row":1,"name":"Kütahya","trid":"TR43","ske_status":"Aktif","start_year":2021,"gender_equality":47,"region":"EGE BÖLGE","high_schools":"Aktif","universities":"Aktif"}' -H 'Content-Type: application/json' &amp;&amp;</v>
      </c>
    </row>
    <row r="45" customFormat="false" ht="15.75" hidden="false" customHeight="false" outlineLevel="0" collapsed="false">
      <c r="A45" s="1" t="n">
        <v>26</v>
      </c>
      <c r="B45" s="1" t="s">
        <v>107</v>
      </c>
      <c r="C45" s="1" t="s">
        <v>108</v>
      </c>
      <c r="D45" s="1" t="s">
        <v>11</v>
      </c>
      <c r="E45" s="1" t="n">
        <v>2025</v>
      </c>
      <c r="F45" s="1" t="n">
        <v>20</v>
      </c>
      <c r="G45" s="1" t="s">
        <v>104</v>
      </c>
      <c r="H45" s="1" t="s">
        <v>11</v>
      </c>
      <c r="I45" s="2" t="s">
        <v>11</v>
      </c>
      <c r="J45" s="0" t="s">
        <v>13</v>
      </c>
      <c r="K45" s="0" t="str">
        <f aca="false">_xlfn.CONCAT("""row"":", A45,",""name"":""",B45,""",""trid"":""",C45,""",""ske_status"":""",D45,""",")</f>
        <v>"row":26,"name":"Uşak","trid":"TR64","ske_status":"Aktif",</v>
      </c>
      <c r="L45" s="0" t="str">
        <f aca="false">IF(ISBLANK(E45),"",_xlfn.CONCAT("""start_year"":",E45,","))</f>
        <v>"start_year":2025,</v>
      </c>
      <c r="M45" s="0" t="str">
        <f aca="false">_xlfn.CONCAT("""gender_equality"":",F45,",""region"":""",G45,""",""high_schools"":""",H45,""",""universities"":""",I45,"""")</f>
        <v>"gender_equality":20,"region":"EGE BÖLGE","high_schools":"Aktif","universities":"Aktif"</v>
      </c>
      <c r="N45" s="0" t="str">
        <f aca="false">N44</f>
        <v>}' -H 'Content-Type: application/json' &amp;&amp;</v>
      </c>
      <c r="O45" s="5" t="str">
        <f aca="false">_xlfn.CONCAT(J45:N45)</f>
        <v>curl -X POST 127.0.0.1:8090/api/collections/provinces/records -d '{"row":26,"name":"Uşak","trid":"TR64","ske_status":"Aktif","start_year":2025,"gender_equality":20,"region":"EGE BÖLGE","high_schools":"Aktif","universities":"Aktif"}' -H 'Content-Type: application/json' &amp;&amp;</v>
      </c>
    </row>
    <row r="46" customFormat="false" ht="15.75" hidden="false" customHeight="false" outlineLevel="0" collapsed="false">
      <c r="A46" s="1" t="n">
        <v>68</v>
      </c>
      <c r="B46" s="1" t="s">
        <v>109</v>
      </c>
      <c r="C46" s="1" t="s">
        <v>110</v>
      </c>
      <c r="D46" s="1" t="s">
        <v>22</v>
      </c>
      <c r="F46" s="1" t="n">
        <v>1</v>
      </c>
      <c r="G46" s="1" t="s">
        <v>104</v>
      </c>
      <c r="H46" s="1" t="s">
        <v>11</v>
      </c>
      <c r="I46" s="2" t="s">
        <v>11</v>
      </c>
      <c r="J46" s="0" t="s">
        <v>13</v>
      </c>
      <c r="K46" s="0" t="str">
        <f aca="false">_xlfn.CONCAT("""row"":", A46,",""name"":""",B46,""",""trid"":""",C46,""",""ske_status"":""",D46,""",")</f>
        <v>"row":68,"name":"Muğla","trid":"TR48","ske_status":"Planlıyor",</v>
      </c>
      <c r="L46" s="0" t="str">
        <f aca="false">IF(ISBLANK(E46),"",_xlfn.CONCAT("""start_year"":",E46,","))</f>
        <v/>
      </c>
      <c r="M46" s="0" t="str">
        <f aca="false">_xlfn.CONCAT("""gender_equality"":",F46,",""region"":""",G46,""",""high_schools"":""",H46,""",""universities"":""",I46,"""")</f>
        <v>"gender_equality":1,"region":"EGE BÖLGE","high_schools":"Aktif","universities":"Aktif"</v>
      </c>
      <c r="N46" s="0" t="str">
        <f aca="false">N45</f>
        <v>}' -H 'Content-Type: application/json' &amp;&amp;</v>
      </c>
      <c r="O46" s="5" t="str">
        <f aca="false">_xlfn.CONCAT(J46:N46)</f>
        <v>curl -X POST 127.0.0.1:8090/api/collections/provinces/records -d '{"row":68,"name":"Muğla","trid":"TR48","ske_status":"Planlıyor","gender_equality":1,"region":"EGE BÖLGE","high_schools":"Aktif","universities":"Aktif"}' -H 'Content-Type: application/json' &amp;&amp;</v>
      </c>
    </row>
    <row r="47" customFormat="false" ht="15.75" hidden="false" customHeight="false" outlineLevel="0" collapsed="false">
      <c r="A47" s="1" t="n">
        <v>23</v>
      </c>
      <c r="B47" s="1" t="s">
        <v>111</v>
      </c>
      <c r="C47" s="1" t="s">
        <v>112</v>
      </c>
      <c r="D47" s="1" t="s">
        <v>11</v>
      </c>
      <c r="E47" s="1" t="n">
        <v>2025</v>
      </c>
      <c r="F47" s="1" t="n">
        <v>15</v>
      </c>
      <c r="G47" s="1" t="s">
        <v>104</v>
      </c>
      <c r="H47" s="1" t="s">
        <v>42</v>
      </c>
      <c r="I47" s="2" t="s">
        <v>11</v>
      </c>
      <c r="J47" s="0" t="s">
        <v>13</v>
      </c>
      <c r="K47" s="0" t="str">
        <f aca="false">_xlfn.CONCAT("""row"":", A47,",""name"":""",B47,""",""trid"":""",C47,""",""ske_status"":""",D47,""",")</f>
        <v>"row":23,"name":"Denizli","trid":"TR20","ske_status":"Aktif",</v>
      </c>
      <c r="L47" s="0" t="str">
        <f aca="false">IF(ISBLANK(E47),"",_xlfn.CONCAT("""start_year"":",E47,","))</f>
        <v>"start_year":2025,</v>
      </c>
      <c r="M47" s="0" t="str">
        <f aca="false">_xlfn.CONCAT("""gender_equality"":",F47,",""region"":""",G47,""",""high_schools"":""",H47,""",""universities"":""",I47,"""")</f>
        <v>"gender_equality":15,"region":"EGE BÖLGE","high_schools":"Yok","universities":"Aktif"</v>
      </c>
      <c r="N47" s="0" t="str">
        <f aca="false">N46</f>
        <v>}' -H 'Content-Type: application/json' &amp;&amp;</v>
      </c>
      <c r="O47" s="5" t="str">
        <f aca="false">_xlfn.CONCAT(J47:N47)</f>
        <v>curl -X POST 127.0.0.1:8090/api/collections/provinces/records -d '{"row":23,"name":"Denizli","trid":"TR20","ske_status":"Aktif","start_year":2025,"gender_equality":15,"region":"EGE BÖLGE","high_schools":"Yok","universities":"Aktif"}' -H 'Content-Type: application/json' &amp;&amp;</v>
      </c>
    </row>
    <row r="48" customFormat="false" ht="18.75" hidden="false" customHeight="true" outlineLevel="0" collapsed="false">
      <c r="A48" s="1" t="n">
        <v>66</v>
      </c>
      <c r="B48" s="1" t="s">
        <v>113</v>
      </c>
      <c r="C48" s="1" t="s">
        <v>114</v>
      </c>
      <c r="D48" s="1" t="s">
        <v>11</v>
      </c>
      <c r="E48" s="1" t="n">
        <v>2025</v>
      </c>
      <c r="F48" s="1" t="n">
        <v>18</v>
      </c>
      <c r="G48" s="1" t="s">
        <v>104</v>
      </c>
      <c r="H48" s="1" t="s">
        <v>22</v>
      </c>
      <c r="I48" s="2" t="s">
        <v>42</v>
      </c>
      <c r="J48" s="0" t="s">
        <v>13</v>
      </c>
      <c r="K48" s="0" t="str">
        <f aca="false">_xlfn.CONCAT("""row"":", A48,",""name"":""",B48,""",""trid"":""",C48,""",""ske_status"":""",D48,""",")</f>
        <v>"row":66,"name":"Manisa","trid":"TR45","ske_status":"Aktif",</v>
      </c>
      <c r="L48" s="0" t="str">
        <f aca="false">IF(ISBLANK(E48),"",_xlfn.CONCAT("""start_year"":",E48,","))</f>
        <v>"start_year":2025,</v>
      </c>
      <c r="M48" s="0" t="str">
        <f aca="false">_xlfn.CONCAT("""gender_equality"":",F48,",""region"":""",G48,""",""high_schools"":""",H48,""",""universities"":""",I48,"""")</f>
        <v>"gender_equality":18,"region":"EGE BÖLGE","high_schools":"Planlıyor","universities":"Yok"</v>
      </c>
      <c r="N48" s="0" t="str">
        <f aca="false">N47</f>
        <v>}' -H 'Content-Type: application/json' &amp;&amp;</v>
      </c>
      <c r="O48" s="5" t="str">
        <f aca="false">_xlfn.CONCAT(J48:N48)</f>
        <v>curl -X POST 127.0.0.1:8090/api/collections/provinces/records -d '{"row":66,"name":"Manisa","trid":"TR45","ske_status":"Aktif","start_year":2025,"gender_equality":18,"region":"EGE BÖLGE","high_schools":"Planlıyor","universities":"Yok"}' -H 'Content-Type: application/json' &amp;&amp;</v>
      </c>
    </row>
    <row r="49" customFormat="false" ht="16.5" hidden="false" customHeight="true" outlineLevel="0" collapsed="false">
      <c r="A49" s="1" t="n">
        <v>14</v>
      </c>
      <c r="B49" s="1" t="s">
        <v>115</v>
      </c>
      <c r="C49" s="1" t="s">
        <v>116</v>
      </c>
      <c r="D49" s="1" t="s">
        <v>11</v>
      </c>
      <c r="E49" s="1" t="n">
        <v>2023</v>
      </c>
      <c r="F49" s="1" t="n">
        <v>39</v>
      </c>
      <c r="G49" s="1" t="s">
        <v>117</v>
      </c>
      <c r="H49" s="1" t="s">
        <v>11</v>
      </c>
      <c r="I49" s="2" t="s">
        <v>11</v>
      </c>
      <c r="J49" s="0" t="s">
        <v>13</v>
      </c>
      <c r="K49" s="0" t="str">
        <f aca="false">_xlfn.CONCAT("""row"":", A49,",""name"":""",B49,""",""trid"":""",C49,""",""ske_status"":""",D49,""",")</f>
        <v>"row":14,"name":"Gaziantep","trid":"TR27","ske_status":"Aktif",</v>
      </c>
      <c r="L49" s="0" t="str">
        <f aca="false">IF(ISBLANK(E49),"",_xlfn.CONCAT("""start_year"":",E49,","))</f>
        <v>"start_year":2023,</v>
      </c>
      <c r="M49" s="0" t="str">
        <f aca="false">_xlfn.CONCAT("""gender_equality"":",F49,",""region"":""",G49,""",""high_schools"":""",H49,""",""universities"":""",I49,"""")</f>
        <v>"gender_equality":39,"region":"GÜNEYDOĞU ANADOLU","high_schools":"Aktif","universities":"Aktif"</v>
      </c>
      <c r="N49" s="0" t="str">
        <f aca="false">N48</f>
        <v>}' -H 'Content-Type: application/json' &amp;&amp;</v>
      </c>
      <c r="O49" s="5" t="str">
        <f aca="false">_xlfn.CONCAT(J49:N49)</f>
        <v>curl -X POST 127.0.0.1:8090/api/collections/provinces/records -d '{"row":14,"name":"Gaziantep","trid":"TR27","ske_status":"Aktif","start_year":2023,"gender_equality":39,"region":"GÜNEYDOĞU ANADOLU","high_schools":"Aktif","universities":"Aktif"}' -H 'Content-Type: application/json' &amp;&amp;</v>
      </c>
    </row>
    <row r="50" customFormat="false" ht="15.75" hidden="false" customHeight="false" outlineLevel="0" collapsed="false">
      <c r="A50" s="1" t="n">
        <v>67</v>
      </c>
      <c r="B50" s="1" t="s">
        <v>118</v>
      </c>
      <c r="C50" s="1" t="s">
        <v>119</v>
      </c>
      <c r="D50" s="1" t="s">
        <v>11</v>
      </c>
      <c r="E50" s="1" t="n">
        <v>2025</v>
      </c>
      <c r="F50" s="1" t="n">
        <v>61</v>
      </c>
      <c r="G50" s="1" t="s">
        <v>117</v>
      </c>
      <c r="H50" s="1" t="s">
        <v>11</v>
      </c>
      <c r="I50" s="2" t="s">
        <v>11</v>
      </c>
      <c r="J50" s="0" t="s">
        <v>13</v>
      </c>
      <c r="K50" s="0" t="str">
        <f aca="false">_xlfn.CONCAT("""row"":", A50,",""name"":""",B50,""",""trid"":""",C50,""",""ske_status"":""",D50,""",")</f>
        <v>"row":67,"name":"Mardin","trid":"TR47","ske_status":"Aktif",</v>
      </c>
      <c r="L50" s="0" t="str">
        <f aca="false">IF(ISBLANK(E50),"",_xlfn.CONCAT("""start_year"":",E50,","))</f>
        <v>"start_year":2025,</v>
      </c>
      <c r="M50" s="0" t="str">
        <f aca="false">_xlfn.CONCAT("""gender_equality"":",F50,",""region"":""",G50,""",""high_schools"":""",H50,""",""universities"":""",I50,"""")</f>
        <v>"gender_equality":61,"region":"GÜNEYDOĞU ANADOLU","high_schools":"Aktif","universities":"Aktif"</v>
      </c>
      <c r="N50" s="0" t="str">
        <f aca="false">N49</f>
        <v>}' -H 'Content-Type: application/json' &amp;&amp;</v>
      </c>
      <c r="O50" s="5" t="str">
        <f aca="false">_xlfn.CONCAT(J50:N50)</f>
        <v>curl -X POST 127.0.0.1:8090/api/collections/provinces/records -d '{"row":67,"name":"Mardin","trid":"TR47","ske_status":"Aktif","start_year":2025,"gender_equality":61,"region":"GÜNEYDOĞU ANADOLU","high_schools":"Aktif","universities":"Aktif"}' -H 'Content-Type: application/json' &amp;&amp;</v>
      </c>
    </row>
    <row r="51" customFormat="false" ht="15.75" hidden="false" customHeight="true" outlineLevel="0" collapsed="false">
      <c r="A51" s="1" t="n">
        <v>76</v>
      </c>
      <c r="B51" s="1" t="s">
        <v>120</v>
      </c>
      <c r="C51" s="1" t="s">
        <v>121</v>
      </c>
      <c r="D51" s="1" t="s">
        <v>11</v>
      </c>
      <c r="E51" s="1" t="n">
        <v>2025</v>
      </c>
      <c r="F51" s="6" t="n">
        <v>78</v>
      </c>
      <c r="G51" s="1" t="s">
        <v>117</v>
      </c>
      <c r="H51" s="1" t="s">
        <v>11</v>
      </c>
      <c r="I51" s="2" t="s">
        <v>11</v>
      </c>
      <c r="J51" s="0" t="s">
        <v>13</v>
      </c>
      <c r="K51" s="0" t="str">
        <f aca="false">_xlfn.CONCAT("""row"":", A51,",""name"":""",B51,""",""trid"":""",C51,""",""ske_status"":""",D51,""",")</f>
        <v>"row":76,"name":"Şırnak","trid":"TR73","ske_status":"Aktif",</v>
      </c>
      <c r="L51" s="0" t="str">
        <f aca="false">IF(ISBLANK(E51),"",_xlfn.CONCAT("""start_year"":",E51,","))</f>
        <v>"start_year":2025,</v>
      </c>
      <c r="M51" s="0" t="str">
        <f aca="false">_xlfn.CONCAT("""gender_equality"":",F51,",""region"":""",G51,""",""high_schools"":""",H51,""",""universities"":""",I51,"""")</f>
        <v>"gender_equality":78,"region":"GÜNEYDOĞU ANADOLU","high_schools":"Aktif","universities":"Aktif"</v>
      </c>
      <c r="N51" s="0" t="str">
        <f aca="false">N50</f>
        <v>}' -H 'Content-Type: application/json' &amp;&amp;</v>
      </c>
      <c r="O51" s="5" t="str">
        <f aca="false">_xlfn.CONCAT(J51:N51)</f>
        <v>curl -X POST 127.0.0.1:8090/api/collections/provinces/records -d '{"row":76,"name":"Şırnak","trid":"TR73","ske_status":"Aktif","start_year":2025,"gender_equality":78,"region":"GÜNEYDOĞU ANADOLU","high_schools":"Aktif","universities":"Aktif"}' -H 'Content-Type: application/json' &amp;&amp;</v>
      </c>
    </row>
    <row r="52" customFormat="false" ht="15.75" hidden="false" customHeight="true" outlineLevel="0" collapsed="false">
      <c r="A52" s="1" t="n">
        <v>73</v>
      </c>
      <c r="B52" s="1" t="s">
        <v>122</v>
      </c>
      <c r="C52" s="1" t="s">
        <v>123</v>
      </c>
      <c r="D52" s="1" t="s">
        <v>22</v>
      </c>
      <c r="F52" s="1" t="n">
        <v>70</v>
      </c>
      <c r="G52" s="1" t="s">
        <v>117</v>
      </c>
      <c r="H52" s="1" t="s">
        <v>11</v>
      </c>
      <c r="I52" s="2" t="s">
        <v>11</v>
      </c>
      <c r="J52" s="0" t="s">
        <v>13</v>
      </c>
      <c r="K52" s="0" t="str">
        <f aca="false">_xlfn.CONCAT("""row"":", A52,",""name"":""",B52,""",""trid"":""",C52,""",""ske_status"":""",D52,""",")</f>
        <v>"row":73,"name":"Şanlıurfa","trid":"TR63","ske_status":"Planlıyor",</v>
      </c>
      <c r="L52" s="0" t="str">
        <f aca="false">IF(ISBLANK(E52),"",_xlfn.CONCAT("""start_year"":",E52,","))</f>
        <v/>
      </c>
      <c r="M52" s="0" t="str">
        <f aca="false">_xlfn.CONCAT("""gender_equality"":",F52,",""region"":""",G52,""",""high_schools"":""",H52,""",""universities"":""",I52,"""")</f>
        <v>"gender_equality":70,"region":"GÜNEYDOĞU ANADOLU","high_schools":"Aktif","universities":"Aktif"</v>
      </c>
      <c r="N52" s="0" t="str">
        <f aca="false">N51</f>
        <v>}' -H 'Content-Type: application/json' &amp;&amp;</v>
      </c>
      <c r="O52" s="5" t="str">
        <f aca="false">_xlfn.CONCAT(J52:N52)</f>
        <v>curl -X POST 127.0.0.1:8090/api/collections/provinces/records -d '{"row":73,"name":"Şanlıurfa","trid":"TR63","ske_status":"Planlıyor","gender_equality":70,"region":"GÜNEYDOĞU ANADOLU","high_schools":"Aktif","universities":"Aktif"}' -H 'Content-Type: application/json' &amp;&amp;</v>
      </c>
    </row>
    <row r="53" customFormat="false" ht="15.75" hidden="false" customHeight="false" outlineLevel="0" collapsed="false">
      <c r="A53" s="1" t="n">
        <v>37</v>
      </c>
      <c r="B53" s="1" t="s">
        <v>124</v>
      </c>
      <c r="C53" s="1" t="s">
        <v>125</v>
      </c>
      <c r="D53" s="1" t="s">
        <v>22</v>
      </c>
      <c r="F53" s="1" t="n">
        <v>66</v>
      </c>
      <c r="G53" s="1" t="s">
        <v>117</v>
      </c>
      <c r="H53" s="1" t="s">
        <v>11</v>
      </c>
      <c r="I53" s="2" t="s">
        <v>11</v>
      </c>
      <c r="J53" s="0" t="s">
        <v>13</v>
      </c>
      <c r="K53" s="0" t="str">
        <f aca="false">_xlfn.CONCAT("""row"":", A53,",""name"":""",B53,""",""trid"":""",C53,""",""ske_status"":""",D53,""",")</f>
        <v>"row":37,"name":"Adıyaman","trid":"TR02","ske_status":"Planlıyor",</v>
      </c>
      <c r="L53" s="0" t="str">
        <f aca="false">IF(ISBLANK(E53),"",_xlfn.CONCAT("""start_year"":",E53,","))</f>
        <v/>
      </c>
      <c r="M53" s="0" t="str">
        <f aca="false">_xlfn.CONCAT("""gender_equality"":",F53,",""region"":""",G53,""",""high_schools"":""",H53,""",""universities"":""",I53,"""")</f>
        <v>"gender_equality":66,"region":"GÜNEYDOĞU ANADOLU","high_schools":"Aktif","universities":"Aktif"</v>
      </c>
      <c r="N53" s="0" t="str">
        <f aca="false">N52</f>
        <v>}' -H 'Content-Type: application/json' &amp;&amp;</v>
      </c>
      <c r="O53" s="5" t="str">
        <f aca="false">_xlfn.CONCAT(J53:N53)</f>
        <v>curl -X POST 127.0.0.1:8090/api/collections/provinces/records -d '{"row":37,"name":"Adıyaman","trid":"TR02","ske_status":"Planlıyor","gender_equality":66,"region":"GÜNEYDOĞU ANADOLU","high_schools":"Aktif","universities":"Aktif"}' -H 'Content-Type: application/json' &amp;&amp;</v>
      </c>
    </row>
    <row r="54" customFormat="false" ht="15.75" hidden="false" customHeight="false" outlineLevel="0" collapsed="false">
      <c r="A54" s="1" t="n">
        <v>45</v>
      </c>
      <c r="B54" s="1" t="s">
        <v>126</v>
      </c>
      <c r="C54" s="1" t="s">
        <v>127</v>
      </c>
      <c r="D54" s="1" t="s">
        <v>42</v>
      </c>
      <c r="F54" s="1" t="n">
        <v>77</v>
      </c>
      <c r="G54" s="1" t="s">
        <v>117</v>
      </c>
      <c r="H54" s="1" t="s">
        <v>11</v>
      </c>
      <c r="I54" s="2" t="s">
        <v>11</v>
      </c>
      <c r="J54" s="0" t="s">
        <v>13</v>
      </c>
      <c r="K54" s="0" t="str">
        <f aca="false">_xlfn.CONCAT("""row"":", A54,",""name"":""",B54,""",""trid"":""",C54,""",""ske_status"":""",D54,""",")</f>
        <v>"row":45,"name":"Batman","trid":"TR72","ske_status":"Yok",</v>
      </c>
      <c r="L54" s="0" t="str">
        <f aca="false">IF(ISBLANK(E54),"",_xlfn.CONCAT("""start_year"":",E54,","))</f>
        <v/>
      </c>
      <c r="M54" s="0" t="str">
        <f aca="false">_xlfn.CONCAT("""gender_equality"":",F54,",""region"":""",G54,""",""high_schools"":""",H54,""",""universities"":""",I54,"""")</f>
        <v>"gender_equality":77,"region":"GÜNEYDOĞU ANADOLU","high_schools":"Aktif","universities":"Aktif"</v>
      </c>
      <c r="N54" s="0" t="str">
        <f aca="false">N53</f>
        <v>}' -H 'Content-Type: application/json' &amp;&amp;</v>
      </c>
      <c r="O54" s="5" t="str">
        <f aca="false">_xlfn.CONCAT(J54:N54)</f>
        <v>curl -X POST 127.0.0.1:8090/api/collections/provinces/records -d '{"row":45,"name":"Batman","trid":"TR72","ske_status":"Yok","gender_equality":77,"region":"GÜNEYDOĞU ANADOLU","high_schools":"Aktif","universities":"Aktif"}' -H 'Content-Type: application/json' &amp;&amp;</v>
      </c>
    </row>
    <row r="55" customFormat="false" ht="15.75" hidden="false" customHeight="false" outlineLevel="0" collapsed="false">
      <c r="A55" s="1" t="n">
        <v>65</v>
      </c>
      <c r="B55" s="1" t="s">
        <v>128</v>
      </c>
      <c r="C55" s="1" t="s">
        <v>129</v>
      </c>
      <c r="D55" s="1" t="s">
        <v>42</v>
      </c>
      <c r="F55" s="1" t="n">
        <v>48</v>
      </c>
      <c r="G55" s="1" t="s">
        <v>117</v>
      </c>
      <c r="H55" s="1" t="s">
        <v>11</v>
      </c>
      <c r="I55" s="2" t="s">
        <v>11</v>
      </c>
      <c r="J55" s="0" t="s">
        <v>13</v>
      </c>
      <c r="K55" s="0" t="str">
        <f aca="false">_xlfn.CONCAT("""row"":", A55,",""name"":""",B55,""",""trid"":""",C55,""",""ske_status"":""",D55,""",")</f>
        <v>"row":65,"name":"Malatya","trid":"TR44","ske_status":"Yok",</v>
      </c>
      <c r="L55" s="0" t="str">
        <f aca="false">IF(ISBLANK(E55),"",_xlfn.CONCAT("""start_year"":",E55,","))</f>
        <v/>
      </c>
      <c r="M55" s="0" t="str">
        <f aca="false">_xlfn.CONCAT("""gender_equality"":",F55,",""region"":""",G55,""",""high_schools"":""",H55,""",""universities"":""",I55,"""")</f>
        <v>"gender_equality":48,"region":"GÜNEYDOĞU ANADOLU","high_schools":"Aktif","universities":"Aktif"</v>
      </c>
      <c r="N55" s="0" t="str">
        <f aca="false">N54</f>
        <v>}' -H 'Content-Type: application/json' &amp;&amp;</v>
      </c>
      <c r="O55" s="5" t="str">
        <f aca="false">_xlfn.CONCAT(J55:N55)</f>
        <v>curl -X POST 127.0.0.1:8090/api/collections/provinces/records -d '{"row":65,"name":"Malatya","trid":"TR44","ske_status":"Yok","gender_equality":48,"region":"GÜNEYDOĞU ANADOLU","high_schools":"Aktif","universities":"Aktif"}' -H 'Content-Type: application/json' &amp;&amp;</v>
      </c>
    </row>
    <row r="56" customFormat="false" ht="18" hidden="false" customHeight="true" outlineLevel="0" collapsed="false">
      <c r="A56" s="1" t="n">
        <v>74</v>
      </c>
      <c r="B56" s="1" t="s">
        <v>130</v>
      </c>
      <c r="C56" s="1" t="s">
        <v>131</v>
      </c>
      <c r="D56" s="1" t="s">
        <v>42</v>
      </c>
      <c r="F56" s="1" t="n">
        <v>74</v>
      </c>
      <c r="G56" s="1" t="s">
        <v>117</v>
      </c>
      <c r="H56" s="1" t="s">
        <v>11</v>
      </c>
      <c r="I56" s="2" t="s">
        <v>11</v>
      </c>
      <c r="J56" s="0" t="s">
        <v>13</v>
      </c>
      <c r="K56" s="0" t="str">
        <f aca="false">_xlfn.CONCAT("""row"":", A56,",""name"":""",B56,""",""trid"":""",C56,""",""ske_status"":""",D56,""",")</f>
        <v>"row":74,"name":"Siirt","trid":"TR56","ske_status":"Yok",</v>
      </c>
      <c r="L56" s="0" t="str">
        <f aca="false">IF(ISBLANK(E56),"",_xlfn.CONCAT("""start_year"":",E56,","))</f>
        <v/>
      </c>
      <c r="M56" s="0" t="str">
        <f aca="false">_xlfn.CONCAT("""gender_equality"":",F56,",""region"":""",G56,""",""high_schools"":""",H56,""",""universities"":""",I56,"""")</f>
        <v>"gender_equality":74,"region":"GÜNEYDOĞU ANADOLU","high_schools":"Aktif","universities":"Aktif"</v>
      </c>
      <c r="N56" s="0" t="str">
        <f aca="false">N55</f>
        <v>}' -H 'Content-Type: application/json' &amp;&amp;</v>
      </c>
      <c r="O56" s="5" t="str">
        <f aca="false">_xlfn.CONCAT(J56:N56)</f>
        <v>curl -X POST 127.0.0.1:8090/api/collections/provinces/records -d '{"row":74,"name":"Siirt","trid":"TR56","ske_status":"Yok","gender_equality":74,"region":"GÜNEYDOĞU ANADOLU","high_schools":"Aktif","universities":"Aktif"}' -H 'Content-Type: application/json' &amp;&amp;</v>
      </c>
    </row>
    <row r="57" customFormat="false" ht="15.75" hidden="false" customHeight="false" outlineLevel="0" collapsed="false">
      <c r="A57" s="1" t="n">
        <v>63</v>
      </c>
      <c r="B57" s="1" t="s">
        <v>132</v>
      </c>
      <c r="C57" s="1" t="s">
        <v>133</v>
      </c>
      <c r="D57" s="1" t="s">
        <v>42</v>
      </c>
      <c r="F57" s="1" t="n">
        <v>54</v>
      </c>
      <c r="G57" s="1" t="s">
        <v>117</v>
      </c>
      <c r="H57" s="1" t="s">
        <v>42</v>
      </c>
      <c r="I57" s="2" t="s">
        <v>11</v>
      </c>
      <c r="J57" s="0" t="s">
        <v>13</v>
      </c>
      <c r="K57" s="0" t="str">
        <f aca="false">_xlfn.CONCAT("""row"":", A57,",""name"":""",B57,""",""trid"":""",C57,""",""ske_status"":""",D57,""",")</f>
        <v>"row":63,"name":"Kilis","trid":"TR79","ske_status":"Yok",</v>
      </c>
      <c r="L57" s="0" t="str">
        <f aca="false">IF(ISBLANK(E57),"",_xlfn.CONCAT("""start_year"":",E57,","))</f>
        <v/>
      </c>
      <c r="M57" s="0" t="str">
        <f aca="false">_xlfn.CONCAT("""gender_equality"":",F57,",""region"":""",G57,""",""high_schools"":""",H57,""",""universities"":""",I57,"""")</f>
        <v>"gender_equality":54,"region":"GÜNEYDOĞU ANADOLU","high_schools":"Yok","universities":"Aktif"</v>
      </c>
      <c r="N57" s="0" t="str">
        <f aca="false">N56</f>
        <v>}' -H 'Content-Type: application/json' &amp;&amp;</v>
      </c>
      <c r="O57" s="5" t="str">
        <f aca="false">_xlfn.CONCAT(J57:N57)</f>
        <v>curl -X POST 127.0.0.1:8090/api/collections/provinces/records -d '{"row":63,"name":"Kilis","trid":"TR79","ske_status":"Yok","gender_equality":54,"region":"GÜNEYDOĞU ANADOLU","high_schools":"Yok","universities":"Aktif"}' -H 'Content-Type: application/json' &amp;&amp;</v>
      </c>
    </row>
    <row r="58" customFormat="false" ht="15.75" hidden="false" customHeight="false" outlineLevel="0" collapsed="false">
      <c r="A58" s="1" t="n">
        <v>13</v>
      </c>
      <c r="B58" s="1" t="s">
        <v>134</v>
      </c>
      <c r="C58" s="1" t="s">
        <v>135</v>
      </c>
      <c r="D58" s="1" t="s">
        <v>136</v>
      </c>
      <c r="E58" s="1" t="n">
        <v>2022</v>
      </c>
      <c r="F58" s="1" t="n">
        <v>33</v>
      </c>
      <c r="G58" s="1" t="s">
        <v>117</v>
      </c>
      <c r="H58" s="1" t="s">
        <v>22</v>
      </c>
      <c r="I58" s="2" t="s">
        <v>22</v>
      </c>
      <c r="J58" s="0" t="s">
        <v>13</v>
      </c>
      <c r="K58" s="0" t="str">
        <f aca="false">_xlfn.CONCAT("""row"":", A58,",""name"":""",B58,""",""trid"":""",C58,""",""ske_status"":""",D58,""",")</f>
        <v>"row":13,"name":"Diyarbakir","trid":"TR21","ske_status":"Devam Ettirmiyor",</v>
      </c>
      <c r="L58" s="0" t="str">
        <f aca="false">IF(ISBLANK(E58),"",_xlfn.CONCAT("""start_year"":",E58,","))</f>
        <v>"start_year":2022,</v>
      </c>
      <c r="M58" s="0" t="str">
        <f aca="false">_xlfn.CONCAT("""gender_equality"":",F58,",""region"":""",G58,""",""high_schools"":""",H58,""",""universities"":""",I58,"""")</f>
        <v>"gender_equality":33,"region":"GÜNEYDOĞU ANADOLU","high_schools":"Planlıyor","universities":"Planlıyor"</v>
      </c>
      <c r="N58" s="0" t="str">
        <f aca="false">N57</f>
        <v>}' -H 'Content-Type: application/json' &amp;&amp;</v>
      </c>
      <c r="O58" s="5" t="str">
        <f aca="false">_xlfn.CONCAT(J58:N58)</f>
        <v>curl -X POST 127.0.0.1:8090/api/collections/provinces/records -d '{"row":13,"name":"Diyarbakir","trid":"TR21","ske_status":"Devam Ettirmiyor","start_year":2022,"gender_equality":33,"region":"GÜNEYDOĞU ANADOLU","high_schools":"Planlıyor","universities":"Planlıyor"}' -H 'Content-Type: application/json' &amp;&amp;</v>
      </c>
    </row>
    <row r="59" customFormat="false" ht="15.75" hidden="false" customHeight="false" outlineLevel="0" collapsed="false">
      <c r="A59" s="1" t="n">
        <v>36</v>
      </c>
      <c r="B59" s="1" t="s">
        <v>137</v>
      </c>
      <c r="C59" s="1" t="s">
        <v>138</v>
      </c>
      <c r="D59" s="1" t="s">
        <v>11</v>
      </c>
      <c r="E59" s="1" t="n">
        <v>2025</v>
      </c>
      <c r="F59" s="1" t="n">
        <v>73</v>
      </c>
      <c r="G59" s="1" t="s">
        <v>139</v>
      </c>
      <c r="H59" s="1" t="s">
        <v>11</v>
      </c>
      <c r="I59" s="2" t="s">
        <v>11</v>
      </c>
      <c r="J59" s="0" t="s">
        <v>13</v>
      </c>
      <c r="K59" s="0" t="str">
        <f aca="false">_xlfn.CONCAT("""row"":", A59,",""name"":""",B59,""",""trid"":""",C59,""",""ske_status"":""",D59,""",")</f>
        <v>"row":36,"name":"Çankırı","trid":"TR18","ske_status":"Aktif",</v>
      </c>
      <c r="L59" s="0" t="str">
        <f aca="false">IF(ISBLANK(E59),"",_xlfn.CONCAT("""start_year"":",E59,","))</f>
        <v>"start_year":2025,</v>
      </c>
      <c r="M59" s="0" t="str">
        <f aca="false">_xlfn.CONCAT("""gender_equality"":",F59,",""region"":""",G59,""",""high_schools"":""",H59,""",""universities"":""",I59,"""")</f>
        <v>"gender_equality":73,"region":"İÇ ANADOLU","high_schools":"Aktif","universities":"Aktif"</v>
      </c>
      <c r="N59" s="0" t="str">
        <f aca="false">N58</f>
        <v>}' -H 'Content-Type: application/json' &amp;&amp;</v>
      </c>
      <c r="O59" s="5" t="str">
        <f aca="false">_xlfn.CONCAT(J59:N59)</f>
        <v>curl -X POST 127.0.0.1:8090/api/collections/provinces/records -d '{"row":36,"name":"Çankırı","trid":"TR18","ske_status":"Aktif","start_year":2025,"gender_equality":73,"region":"İÇ ANADOLU","high_schools":"Aktif","universities":"Aktif"}' -H 'Content-Type: application/json' &amp;&amp;</v>
      </c>
    </row>
    <row r="60" customFormat="false" ht="18" hidden="false" customHeight="true" outlineLevel="0" collapsed="false">
      <c r="A60" s="1" t="n">
        <v>61</v>
      </c>
      <c r="B60" s="1" t="s">
        <v>140</v>
      </c>
      <c r="C60" s="1" t="s">
        <v>141</v>
      </c>
      <c r="D60" s="1" t="s">
        <v>11</v>
      </c>
      <c r="E60" s="1" t="n">
        <v>2025</v>
      </c>
      <c r="F60" s="1" t="n">
        <v>55</v>
      </c>
      <c r="G60" s="1" t="s">
        <v>139</v>
      </c>
      <c r="H60" s="1" t="s">
        <v>11</v>
      </c>
      <c r="I60" s="2" t="s">
        <v>11</v>
      </c>
      <c r="J60" s="0" t="s">
        <v>13</v>
      </c>
      <c r="K60" s="0" t="str">
        <f aca="false">_xlfn.CONCAT("""row"":", A60,",""name"":""",B60,""",""trid"":""",C60,""",""ske_status"":""",D60,""",")</f>
        <v>"row":61,"name":"Karaman","trid":"TR70","ske_status":"Aktif",</v>
      </c>
      <c r="L60" s="0" t="str">
        <f aca="false">IF(ISBLANK(E60),"",_xlfn.CONCAT("""start_year"":",E60,","))</f>
        <v>"start_year":2025,</v>
      </c>
      <c r="M60" s="0" t="str">
        <f aca="false">_xlfn.CONCAT("""gender_equality"":",F60,",""region"":""",G60,""",""high_schools"":""",H60,""",""universities"":""",I60,"""")</f>
        <v>"gender_equality":55,"region":"İÇ ANADOLU","high_schools":"Aktif","universities":"Aktif"</v>
      </c>
      <c r="N60" s="0" t="str">
        <f aca="false">N59</f>
        <v>}' -H 'Content-Type: application/json' &amp;&amp;</v>
      </c>
      <c r="O60" s="5" t="str">
        <f aca="false">_xlfn.CONCAT(J60:N60)</f>
        <v>curl -X POST 127.0.0.1:8090/api/collections/provinces/records -d '{"row":61,"name":"Karaman","trid":"TR70","ske_status":"Aktif","start_year":2025,"gender_equality":55,"region":"İÇ ANADOLU","high_schools":"Aktif","universities":"Aktif"}' -H 'Content-Type: application/json' &amp;&amp;</v>
      </c>
    </row>
    <row r="61" customFormat="false" ht="19.5" hidden="false" customHeight="true" outlineLevel="0" collapsed="false">
      <c r="A61" s="1" t="n">
        <v>11</v>
      </c>
      <c r="B61" s="1" t="s">
        <v>142</v>
      </c>
      <c r="C61" s="1" t="s">
        <v>143</v>
      </c>
      <c r="D61" s="1" t="s">
        <v>11</v>
      </c>
      <c r="E61" s="1" t="n">
        <v>2022</v>
      </c>
      <c r="F61" s="1" t="n">
        <v>68</v>
      </c>
      <c r="G61" s="1" t="s">
        <v>139</v>
      </c>
      <c r="H61" s="1" t="s">
        <v>11</v>
      </c>
      <c r="I61" s="2" t="s">
        <v>11</v>
      </c>
      <c r="J61" s="0" t="s">
        <v>13</v>
      </c>
      <c r="K61" s="0" t="str">
        <f aca="false">_xlfn.CONCAT("""row"":", A61,",""name"":""",B61,""",""trid"":""",C61,""",""ske_status"":""",D61,""",")</f>
        <v>"row":11,"name":"Kayseri","trid":"TR38","ske_status":"Aktif",</v>
      </c>
      <c r="L61" s="0" t="str">
        <f aca="false">IF(ISBLANK(E61),"",_xlfn.CONCAT("""start_year"":",E61,","))</f>
        <v>"start_year":2022,</v>
      </c>
      <c r="M61" s="0" t="str">
        <f aca="false">_xlfn.CONCAT("""gender_equality"":",F61,",""region"":""",G61,""",""high_schools"":""",H61,""",""universities"":""",I61,"""")</f>
        <v>"gender_equality":68,"region":"İÇ ANADOLU","high_schools":"Aktif","universities":"Aktif"</v>
      </c>
      <c r="N61" s="0" t="str">
        <f aca="false">N60</f>
        <v>}' -H 'Content-Type: application/json' &amp;&amp;</v>
      </c>
      <c r="O61" s="5" t="str">
        <f aca="false">_xlfn.CONCAT(J61:N61)</f>
        <v>curl -X POST 127.0.0.1:8090/api/collections/provinces/records -d '{"row":11,"name":"Kayseri","trid":"TR38","ske_status":"Aktif","start_year":2022,"gender_equality":68,"region":"İÇ ANADOLU","high_schools":"Aktif","universities":"Aktif"}' -H 'Content-Type: application/json' &amp;&amp;</v>
      </c>
    </row>
    <row r="62" customFormat="false" ht="18.75" hidden="false" customHeight="true" outlineLevel="0" collapsed="false">
      <c r="A62" s="1" t="n">
        <v>30</v>
      </c>
      <c r="B62" s="1" t="s">
        <v>144</v>
      </c>
      <c r="C62" s="1" t="s">
        <v>145</v>
      </c>
      <c r="D62" s="1" t="s">
        <v>11</v>
      </c>
      <c r="E62" s="1" t="n">
        <v>2025</v>
      </c>
      <c r="F62" s="1" t="n">
        <v>75</v>
      </c>
      <c r="G62" s="1" t="s">
        <v>139</v>
      </c>
      <c r="H62" s="1" t="s">
        <v>11</v>
      </c>
      <c r="I62" s="2" t="s">
        <v>11</v>
      </c>
      <c r="J62" s="0" t="s">
        <v>13</v>
      </c>
      <c r="K62" s="0" t="str">
        <f aca="false">_xlfn.CONCAT("""row"":", A62,",""name"":""",B62,""",""trid"":""",C62,""",""ske_status"":""",D62,""",")</f>
        <v>"row":30,"name":"Kırıkkale","trid":"TR71","ske_status":"Aktif",</v>
      </c>
      <c r="L62" s="0" t="str">
        <f aca="false">IF(ISBLANK(E62),"",_xlfn.CONCAT("""start_year"":",E62,","))</f>
        <v>"start_year":2025,</v>
      </c>
      <c r="M62" s="0" t="str">
        <f aca="false">_xlfn.CONCAT("""gender_equality"":",F62,",""region"":""",G62,""",""high_schools"":""",H62,""",""universities"":""",I62,"""")</f>
        <v>"gender_equality":75,"region":"İÇ ANADOLU","high_schools":"Aktif","universities":"Aktif"</v>
      </c>
      <c r="N62" s="0" t="str">
        <f aca="false">N61</f>
        <v>}' -H 'Content-Type: application/json' &amp;&amp;</v>
      </c>
      <c r="O62" s="5" t="str">
        <f aca="false">_xlfn.CONCAT(J62:N62)</f>
        <v>curl -X POST 127.0.0.1:8090/api/collections/provinces/records -d '{"row":30,"name":"Kırıkkale","trid":"TR71","ske_status":"Aktif","start_year":2025,"gender_equality":75,"region":"İÇ ANADOLU","high_schools":"Aktif","universities":"Aktif"}' -H 'Content-Type: application/json' &amp;&amp;</v>
      </c>
    </row>
    <row r="63" customFormat="false" ht="15.75" hidden="false" customHeight="false" outlineLevel="0" collapsed="false">
      <c r="A63" s="1" t="n">
        <v>10</v>
      </c>
      <c r="B63" s="1" t="s">
        <v>146</v>
      </c>
      <c r="C63" s="1" t="s">
        <v>147</v>
      </c>
      <c r="D63" s="1" t="s">
        <v>11</v>
      </c>
      <c r="E63" s="1" t="n">
        <v>2024</v>
      </c>
      <c r="F63" s="1" t="n">
        <v>65</v>
      </c>
      <c r="G63" s="1" t="s">
        <v>139</v>
      </c>
      <c r="H63" s="1" t="s">
        <v>11</v>
      </c>
      <c r="I63" s="2" t="s">
        <v>11</v>
      </c>
      <c r="J63" s="0" t="s">
        <v>13</v>
      </c>
      <c r="K63" s="0" t="str">
        <f aca="false">_xlfn.CONCAT("""row"":", A63,",""name"":""",B63,""",""trid"":""",C63,""",""ske_status"":""",D63,""",")</f>
        <v>"row":10,"name":"Konya","trid":"TR42","ske_status":"Aktif",</v>
      </c>
      <c r="L63" s="0" t="str">
        <f aca="false">IF(ISBLANK(E63),"",_xlfn.CONCAT("""start_year"":",E63,","))</f>
        <v>"start_year":2024,</v>
      </c>
      <c r="M63" s="0" t="str">
        <f aca="false">_xlfn.CONCAT("""gender_equality"":",F63,",""region"":""",G63,""",""high_schools"":""",H63,""",""universities"":""",I63,"""")</f>
        <v>"gender_equality":65,"region":"İÇ ANADOLU","high_schools":"Aktif","universities":"Aktif"</v>
      </c>
      <c r="N63" s="0" t="str">
        <f aca="false">N62</f>
        <v>}' -H 'Content-Type: application/json' &amp;&amp;</v>
      </c>
      <c r="O63" s="5" t="str">
        <f aca="false">_xlfn.CONCAT(J63:N63)</f>
        <v>curl -X POST 127.0.0.1:8090/api/collections/provinces/records -d '{"row":10,"name":"Konya","trid":"TR42","ske_status":"Aktif","start_year":2024,"gender_equality":65,"region":"İÇ ANADOLU","high_schools":"Aktif","universities":"Aktif"}' -H 'Content-Type: application/json' &amp;&amp;</v>
      </c>
    </row>
    <row r="64" customFormat="false" ht="15.75" hidden="false" customHeight="false" outlineLevel="0" collapsed="false">
      <c r="A64" s="1" t="n">
        <v>9</v>
      </c>
      <c r="B64" s="1" t="s">
        <v>148</v>
      </c>
      <c r="C64" s="1" t="s">
        <v>149</v>
      </c>
      <c r="D64" s="1" t="s">
        <v>11</v>
      </c>
      <c r="E64" s="1" t="n">
        <v>2022</v>
      </c>
      <c r="F64" s="1" t="n">
        <v>23</v>
      </c>
      <c r="G64" s="1" t="s">
        <v>139</v>
      </c>
      <c r="H64" s="1" t="s">
        <v>11</v>
      </c>
      <c r="I64" s="2" t="s">
        <v>11</v>
      </c>
      <c r="J64" s="0" t="s">
        <v>13</v>
      </c>
      <c r="K64" s="0" t="str">
        <f aca="false">_xlfn.CONCAT("""row"":", A64,",""name"":""",B64,""",""trid"":""",C64,""",""ske_status"":""",D64,""",")</f>
        <v>"row":9,"name":"Niğde","trid":"TR51","ske_status":"Aktif",</v>
      </c>
      <c r="L64" s="0" t="str">
        <f aca="false">IF(ISBLANK(E64),"",_xlfn.CONCAT("""start_year"":",E64,","))</f>
        <v>"start_year":2022,</v>
      </c>
      <c r="M64" s="0" t="str">
        <f aca="false">_xlfn.CONCAT("""gender_equality"":",F64,",""region"":""",G64,""",""high_schools"":""",H64,""",""universities"":""",I64,"""")</f>
        <v>"gender_equality":23,"region":"İÇ ANADOLU","high_schools":"Aktif","universities":"Aktif"</v>
      </c>
      <c r="N64" s="0" t="str">
        <f aca="false">N63</f>
        <v>}' -H 'Content-Type: application/json' &amp;&amp;</v>
      </c>
      <c r="O64" s="5" t="str">
        <f aca="false">_xlfn.CONCAT(J64:N64)</f>
        <v>curl -X POST 127.0.0.1:8090/api/collections/provinces/records -d '{"row":9,"name":"Niğde","trid":"TR51","ske_status":"Aktif","start_year":2022,"gender_equality":23,"region":"İÇ ANADOLU","high_schools":"Aktif","universities":"Aktif"}' -H 'Content-Type: application/json' &amp;&amp;</v>
      </c>
    </row>
    <row r="65" customFormat="false" ht="15" hidden="false" customHeight="true" outlineLevel="0" collapsed="false">
      <c r="A65" s="1" t="n">
        <v>17</v>
      </c>
      <c r="B65" s="1" t="s">
        <v>150</v>
      </c>
      <c r="C65" s="1" t="s">
        <v>151</v>
      </c>
      <c r="D65" s="1" t="s">
        <v>11</v>
      </c>
      <c r="E65" s="1" t="n">
        <v>2024</v>
      </c>
      <c r="F65" s="1" t="n">
        <v>59</v>
      </c>
      <c r="G65" s="1" t="s">
        <v>139</v>
      </c>
      <c r="H65" s="1" t="s">
        <v>11</v>
      </c>
      <c r="I65" s="2" t="s">
        <v>11</v>
      </c>
      <c r="J65" s="0" t="s">
        <v>13</v>
      </c>
      <c r="K65" s="0" t="str">
        <f aca="false">_xlfn.CONCAT("""row"":", A65,",""name"":""",B65,""",""trid"":""",C65,""",""ske_status"":""",D65,""",")</f>
        <v>"row":17,"name":"Sivas","trid":"TR58","ske_status":"Aktif",</v>
      </c>
      <c r="L65" s="0" t="str">
        <f aca="false">IF(ISBLANK(E65),"",_xlfn.CONCAT("""start_year"":",E65,","))</f>
        <v>"start_year":2024,</v>
      </c>
      <c r="M65" s="0" t="str">
        <f aca="false">_xlfn.CONCAT("""gender_equality"":",F65,",""region"":""",G65,""",""high_schools"":""",H65,""",""universities"":""",I65,"""")</f>
        <v>"gender_equality":59,"region":"İÇ ANADOLU","high_schools":"Aktif","universities":"Aktif"</v>
      </c>
      <c r="N65" s="0" t="str">
        <f aca="false">N64</f>
        <v>}' -H 'Content-Type: application/json' &amp;&amp;</v>
      </c>
      <c r="O65" s="5" t="str">
        <f aca="false">_xlfn.CONCAT(J65:N65)</f>
        <v>curl -X POST 127.0.0.1:8090/api/collections/provinces/records -d '{"row":17,"name":"Sivas","trid":"TR58","ske_status":"Aktif","start_year":2024,"gender_equality":59,"region":"İÇ ANADOLU","high_schools":"Aktif","universities":"Aktif"}' -H 'Content-Type: application/json' &amp;&amp;</v>
      </c>
    </row>
    <row r="66" customFormat="false" ht="18" hidden="false" customHeight="true" outlineLevel="0" collapsed="false">
      <c r="A66" s="1" t="n">
        <v>80</v>
      </c>
      <c r="B66" s="1" t="s">
        <v>152</v>
      </c>
      <c r="C66" s="1" t="s">
        <v>153</v>
      </c>
      <c r="D66" s="1" t="s">
        <v>11</v>
      </c>
      <c r="E66" s="1" t="n">
        <v>2025</v>
      </c>
      <c r="F66" s="1" t="n">
        <v>63</v>
      </c>
      <c r="G66" s="1" t="s">
        <v>139</v>
      </c>
      <c r="H66" s="1" t="s">
        <v>11</v>
      </c>
      <c r="I66" s="2" t="s">
        <v>11</v>
      </c>
      <c r="J66" s="0" t="s">
        <v>13</v>
      </c>
      <c r="K66" s="0" t="str">
        <f aca="false">_xlfn.CONCAT("""row"":", A66,",""name"":""",B66,""",""trid"":""",C66,""",""ske_status"":""",D66,""",")</f>
        <v>"row":80,"name":"Yozgat","trid":"TR66","ske_status":"Aktif",</v>
      </c>
      <c r="L66" s="0" t="str">
        <f aca="false">IF(ISBLANK(E66),"",_xlfn.CONCAT("""start_year"":",E66,","))</f>
        <v>"start_year":2025,</v>
      </c>
      <c r="M66" s="0" t="str">
        <f aca="false">_xlfn.CONCAT("""gender_equality"":",F66,",""region"":""",G66,""",""high_schools"":""",H66,""",""universities"":""",I66,"""")</f>
        <v>"gender_equality":63,"region":"İÇ ANADOLU","high_schools":"Aktif","universities":"Aktif"</v>
      </c>
      <c r="N66" s="0" t="str">
        <f aca="false">N65</f>
        <v>}' -H 'Content-Type: application/json' &amp;&amp;</v>
      </c>
      <c r="O66" s="5" t="str">
        <f aca="false">_xlfn.CONCAT(J66:N66)</f>
        <v>curl -X POST 127.0.0.1:8090/api/collections/provinces/records -d '{"row":80,"name":"Yozgat","trid":"TR66","ske_status":"Aktif","start_year":2025,"gender_equality":63,"region":"İÇ ANADOLU","high_schools":"Aktif","universities":"Aktif"}' -H 'Content-Type: application/json' &amp;&amp;</v>
      </c>
    </row>
    <row r="67" customFormat="false" ht="15.75" hidden="false" customHeight="false" outlineLevel="0" collapsed="false">
      <c r="A67" s="1" t="n">
        <v>40</v>
      </c>
      <c r="B67" s="1" t="s">
        <v>154</v>
      </c>
      <c r="C67" s="1" t="s">
        <v>155</v>
      </c>
      <c r="D67" s="1" t="s">
        <v>136</v>
      </c>
      <c r="F67" s="1" t="n">
        <v>53</v>
      </c>
      <c r="G67" s="1" t="s">
        <v>139</v>
      </c>
      <c r="H67" s="1" t="s">
        <v>11</v>
      </c>
      <c r="I67" s="2" t="s">
        <v>11</v>
      </c>
      <c r="J67" s="0" t="s">
        <v>13</v>
      </c>
      <c r="K67" s="0" t="str">
        <f aca="false">_xlfn.CONCAT("""row"":", A67,",""name"":""",B67,""",""trid"":""",C67,""",""ske_status"":""",D67,""",")</f>
        <v>"row":40,"name":"Aksaray","trid":"TR68","ske_status":"Devam Ettirmiyor",</v>
      </c>
      <c r="L67" s="0" t="str">
        <f aca="false">IF(ISBLANK(E67),"",_xlfn.CONCAT("""start_year"":",E67,","))</f>
        <v/>
      </c>
      <c r="M67" s="0" t="str">
        <f aca="false">_xlfn.CONCAT("""gender_equality"":",F67,",""region"":""",G67,""",""high_schools"":""",H67,""",""universities"":""",I67,"""")</f>
        <v>"gender_equality":53,"region":"İÇ ANADOLU","high_schools":"Aktif","universities":"Aktif"</v>
      </c>
      <c r="N67" s="0" t="str">
        <f aca="false">N66</f>
        <v>}' -H 'Content-Type: application/json' &amp;&amp;</v>
      </c>
      <c r="O67" s="5" t="str">
        <f aca="false">_xlfn.CONCAT(J67:N67)</f>
        <v>curl -X POST 127.0.0.1:8090/api/collections/provinces/records -d '{"row":40,"name":"Aksaray","trid":"TR68","ske_status":"Devam Ettirmiyor","gender_equality":53,"region":"İÇ ANADOLU","high_schools":"Aktif","universities":"Aktif"}' -H 'Content-Type: application/json' &amp;&amp;</v>
      </c>
    </row>
    <row r="68" customFormat="false" ht="15.75" hidden="false" customHeight="false" outlineLevel="0" collapsed="false">
      <c r="A68" s="1" t="n">
        <v>35</v>
      </c>
      <c r="B68" s="1" t="s">
        <v>156</v>
      </c>
      <c r="C68" s="1" t="s">
        <v>157</v>
      </c>
      <c r="D68" s="1" t="s">
        <v>22</v>
      </c>
      <c r="E68" s="1" t="n">
        <v>2025</v>
      </c>
      <c r="F68" s="1" t="n">
        <v>30</v>
      </c>
      <c r="G68" s="1" t="s">
        <v>139</v>
      </c>
      <c r="H68" s="1" t="s">
        <v>11</v>
      </c>
      <c r="I68" s="2" t="s">
        <v>11</v>
      </c>
      <c r="J68" s="0" t="s">
        <v>13</v>
      </c>
      <c r="K68" s="0" t="str">
        <f aca="false">_xlfn.CONCAT("""row"":", A68,",""name"":""",B68,""",""trid"":""",C68,""",""ske_status"":""",D68,""",")</f>
        <v>"row":35,"name":"Eskişehir","trid":"TR26","ske_status":"Planlıyor",</v>
      </c>
      <c r="L68" s="0" t="str">
        <f aca="false">IF(ISBLANK(E68),"",_xlfn.CONCAT("""start_year"":",E68,","))</f>
        <v>"start_year":2025,</v>
      </c>
      <c r="M68" s="0" t="str">
        <f aca="false">_xlfn.CONCAT("""gender_equality"":",F68,",""region"":""",G68,""",""high_schools"":""",H68,""",""universities"":""",I68,"""")</f>
        <v>"gender_equality":30,"region":"İÇ ANADOLU","high_schools":"Aktif","universities":"Aktif"</v>
      </c>
      <c r="N68" s="0" t="str">
        <f aca="false">N67</f>
        <v>}' -H 'Content-Type: application/json' &amp;&amp;</v>
      </c>
      <c r="O68" s="5" t="str">
        <f aca="false">_xlfn.CONCAT(J68:N68)</f>
        <v>curl -X POST 127.0.0.1:8090/api/collections/provinces/records -d '{"row":35,"name":"Eskişehir","trid":"TR26","ske_status":"Planlıyor","start_year":2025,"gender_equality":30,"region":"İÇ ANADOLU","high_schools":"Aktif","universities":"Aktif"}' -H 'Content-Type: application/json' &amp;&amp;</v>
      </c>
    </row>
    <row r="69" customFormat="false" ht="16.5" hidden="false" customHeight="true" outlineLevel="0" collapsed="false">
      <c r="A69" s="1" t="n">
        <v>32</v>
      </c>
      <c r="B69" s="1" t="s">
        <v>158</v>
      </c>
      <c r="C69" s="1" t="s">
        <v>159</v>
      </c>
      <c r="D69" s="1" t="s">
        <v>42</v>
      </c>
      <c r="E69" s="1" t="n">
        <v>2023</v>
      </c>
      <c r="F69" s="1" t="n">
        <v>36</v>
      </c>
      <c r="G69" s="1" t="s">
        <v>139</v>
      </c>
      <c r="H69" s="1" t="s">
        <v>11</v>
      </c>
      <c r="I69" s="2" t="s">
        <v>11</v>
      </c>
      <c r="J69" s="0" t="s">
        <v>13</v>
      </c>
      <c r="K69" s="0" t="str">
        <f aca="false">_xlfn.CONCAT("""row"":", A69,",""name"":""",B69,""",""trid"":""",C69,""",""ske_status"":""",D69,""",")</f>
        <v>"row":32,"name":"Kırşehir","trid":"TR40","ske_status":"Yok",</v>
      </c>
      <c r="L69" s="0" t="str">
        <f aca="false">IF(ISBLANK(E69),"",_xlfn.CONCAT("""start_year"":",E69,","))</f>
        <v>"start_year":2023,</v>
      </c>
      <c r="M69" s="0" t="str">
        <f aca="false">_xlfn.CONCAT("""gender_equality"":",F69,",""region"":""",G69,""",""high_schools"":""",H69,""",""universities"":""",I69,"""")</f>
        <v>"gender_equality":36,"region":"İÇ ANADOLU","high_schools":"Aktif","universities":"Aktif"</v>
      </c>
      <c r="N69" s="0" t="str">
        <f aca="false">N68</f>
        <v>}' -H 'Content-Type: application/json' &amp;&amp;</v>
      </c>
      <c r="O69" s="5" t="str">
        <f aca="false">_xlfn.CONCAT(J69:N69)</f>
        <v>curl -X POST 127.0.0.1:8090/api/collections/provinces/records -d '{"row":32,"name":"Kırşehir","trid":"TR40","ske_status":"Yok","start_year":2023,"gender_equality":36,"region":"İÇ ANADOLU","high_schools":"Aktif","universities":"Aktif"}' -H 'Content-Type: application/json' &amp;&amp;</v>
      </c>
    </row>
    <row r="70" customFormat="false" ht="19.5" hidden="false" customHeight="true" outlineLevel="0" collapsed="false">
      <c r="A70" s="1" t="n">
        <v>70</v>
      </c>
      <c r="B70" s="1" t="s">
        <v>160</v>
      </c>
      <c r="C70" s="1" t="s">
        <v>161</v>
      </c>
      <c r="D70" s="1" t="s">
        <v>42</v>
      </c>
      <c r="F70" s="1" t="n">
        <v>50</v>
      </c>
      <c r="G70" s="1" t="s">
        <v>139</v>
      </c>
      <c r="H70" s="1" t="s">
        <v>11</v>
      </c>
      <c r="I70" s="2" t="s">
        <v>11</v>
      </c>
      <c r="J70" s="0" t="s">
        <v>13</v>
      </c>
      <c r="K70" s="0" t="str">
        <f aca="false">_xlfn.CONCAT("""row"":", A70,",""name"":""",B70,""",""trid"":""",C70,""",""ske_status"":""",D70,""",")</f>
        <v>"row":70,"name":"Nevşehir","trid":"TR50","ske_status":"Yok",</v>
      </c>
      <c r="L70" s="0" t="str">
        <f aca="false">IF(ISBLANK(E70),"",_xlfn.CONCAT("""start_year"":",E70,","))</f>
        <v/>
      </c>
      <c r="M70" s="0" t="str">
        <f aca="false">_xlfn.CONCAT("""gender_equality"":",F70,",""region"":""",G70,""",""high_schools"":""",H70,""",""universities"":""",I70,"""")</f>
        <v>"gender_equality":50,"region":"İÇ ANADOLU","high_schools":"Aktif","universities":"Aktif"</v>
      </c>
      <c r="N70" s="0" t="str">
        <f aca="false">N69</f>
        <v>}' -H 'Content-Type: application/json' &amp;&amp;</v>
      </c>
      <c r="O70" s="5" t="str">
        <f aca="false">_xlfn.CONCAT(J70:N70)</f>
        <v>curl -X POST 127.0.0.1:8090/api/collections/provinces/records -d '{"row":70,"name":"Nevşehir","trid":"TR50","ske_status":"Yok","gender_equality":50,"region":"İÇ ANADOLU","high_schools":"Aktif","universities":"Aktif"}' -H 'Content-Type: application/json' &amp;&amp;</v>
      </c>
    </row>
    <row r="71" customFormat="false" ht="18" hidden="false" customHeight="true" outlineLevel="0" collapsed="false">
      <c r="A71" s="1" t="n">
        <v>59</v>
      </c>
      <c r="B71" s="1" t="s">
        <v>162</v>
      </c>
      <c r="C71" s="1" t="s">
        <v>163</v>
      </c>
      <c r="D71" s="1" t="s">
        <v>11</v>
      </c>
      <c r="E71" s="1" t="n">
        <v>2025</v>
      </c>
      <c r="F71" s="1" t="n">
        <v>4</v>
      </c>
      <c r="G71" s="1" t="s">
        <v>164</v>
      </c>
      <c r="H71" s="1" t="s">
        <v>11</v>
      </c>
      <c r="I71" s="2" t="s">
        <v>11</v>
      </c>
      <c r="J71" s="0" t="s">
        <v>13</v>
      </c>
      <c r="K71" s="0" t="str">
        <f aca="false">_xlfn.CONCAT("""row"":", A71,",""name"":""",B71,""",""trid"":""",C71,""",""ske_status"":""",D71,""",")</f>
        <v>"row":59,"name":"İstanbul","trid":"TR34","ske_status":"Aktif",</v>
      </c>
      <c r="L71" s="0" t="str">
        <f aca="false">IF(ISBLANK(E71),"",_xlfn.CONCAT("""start_year"":",E71,","))</f>
        <v>"start_year":2025,</v>
      </c>
      <c r="M71" s="0" t="str">
        <f aca="false">_xlfn.CONCAT("""gender_equality"":",F71,",""region"":""",G71,""",""high_schools"":""",H71,""",""universities"":""",I71,"""")</f>
        <v>"gender_equality":4,"region":"İSTANBUL","high_schools":"Aktif","universities":"Aktif"</v>
      </c>
      <c r="N71" s="0" t="str">
        <f aca="false">N70</f>
        <v>}' -H 'Content-Type: application/json' &amp;&amp;</v>
      </c>
      <c r="O71" s="5" t="str">
        <f aca="false">_xlfn.CONCAT(J71:N71)</f>
        <v>curl -X POST 127.0.0.1:8090/api/collections/provinces/records -d '{"row":59,"name":"İstanbul","trid":"TR34","ske_status":"Aktif","start_year":2025,"gender_equality":4,"region":"İSTANBUL","high_schools":"Aktif","universities":"Aktif"}' -H 'Content-Type: application/json' &amp;&amp;</v>
      </c>
    </row>
    <row r="72" customFormat="false" ht="15.75" hidden="false" customHeight="false" outlineLevel="0" collapsed="false">
      <c r="A72" s="1" t="n">
        <v>5</v>
      </c>
      <c r="B72" s="1" t="s">
        <v>165</v>
      </c>
      <c r="C72" s="1" t="s">
        <v>166</v>
      </c>
      <c r="D72" s="1" t="s">
        <v>11</v>
      </c>
      <c r="E72" s="1" t="n">
        <v>2022</v>
      </c>
      <c r="F72" s="1" t="n">
        <v>2</v>
      </c>
      <c r="G72" s="1" t="s">
        <v>167</v>
      </c>
      <c r="H72" s="1" t="s">
        <v>11</v>
      </c>
      <c r="I72" s="2" t="s">
        <v>11</v>
      </c>
      <c r="J72" s="0" t="s">
        <v>13</v>
      </c>
      <c r="K72" s="0" t="str">
        <f aca="false">_xlfn.CONCAT("""row"":", A72,",""name"":""",B72,""",""trid"":""",C72,""",""ske_status"":""",D72,""",")</f>
        <v>"row":5,"name":"İzmir","trid":"TR35","ske_status":"Aktif",</v>
      </c>
      <c r="L72" s="0" t="str">
        <f aca="false">IF(ISBLANK(E72),"",_xlfn.CONCAT("""start_year"":",E72,","))</f>
        <v>"start_year":2022,</v>
      </c>
      <c r="M72" s="0" t="str">
        <f aca="false">_xlfn.CONCAT("""gender_equality"":",F72,",""region"":""",G72,""",""high_schools"":""",H72,""",""universities"":""",I72,"""")</f>
        <v>"gender_equality":2,"region":"İZMİR","high_schools":"Aktif","universities":"Aktif"</v>
      </c>
      <c r="N72" s="0" t="str">
        <f aca="false">N71</f>
        <v>}' -H 'Content-Type: application/json' &amp;&amp;</v>
      </c>
      <c r="O72" s="5" t="str">
        <f aca="false">_xlfn.CONCAT(J72:N72)</f>
        <v>curl -X POST 127.0.0.1:8090/api/collections/provinces/records -d '{"row":5,"name":"İzmir","trid":"TR35","ske_status":"Aktif","start_year":2022,"gender_equality":2,"region":"İZMİR","high_schools":"Aktif","universities":"Aktif"}' -H 'Content-Type: application/json' &amp;&amp;</v>
      </c>
    </row>
    <row r="73" customFormat="false" ht="18.75" hidden="false" customHeight="true" outlineLevel="0" collapsed="false">
      <c r="A73" s="1" t="n">
        <v>25</v>
      </c>
      <c r="B73" s="1" t="s">
        <v>168</v>
      </c>
      <c r="C73" s="1" t="s">
        <v>169</v>
      </c>
      <c r="D73" s="1" t="s">
        <v>11</v>
      </c>
      <c r="E73" s="1" t="n">
        <v>2024</v>
      </c>
      <c r="F73" s="1" t="n">
        <v>10</v>
      </c>
      <c r="G73" s="1" t="s">
        <v>170</v>
      </c>
      <c r="H73" s="1" t="s">
        <v>11</v>
      </c>
      <c r="I73" s="2" t="s">
        <v>11</v>
      </c>
      <c r="J73" s="0" t="s">
        <v>13</v>
      </c>
      <c r="K73" s="0" t="str">
        <f aca="false">_xlfn.CONCAT("""row"":", A73,",""name"":""",B73,""",""trid"":""",C73,""",""ske_status"":""",D73,""",")</f>
        <v>"row":25,"name":"Balıkesir","trid":"TR10","ske_status":"Aktif",</v>
      </c>
      <c r="L73" s="0" t="str">
        <f aca="false">IF(ISBLANK(E73),"",_xlfn.CONCAT("""start_year"":",E73,","))</f>
        <v>"start_year":2024,</v>
      </c>
      <c r="M73" s="0" t="str">
        <f aca="false">_xlfn.CONCAT("""gender_equality"":",F73,",""region"":""",G73,""",""high_schools"":""",H73,""",""universities"":""",I73,"""")</f>
        <v>"gender_equality":10,"region":"MARMARA","high_schools":"Aktif","universities":"Aktif"</v>
      </c>
      <c r="N73" s="0" t="str">
        <f aca="false">N72</f>
        <v>}' -H 'Content-Type: application/json' &amp;&amp;</v>
      </c>
      <c r="O73" s="5" t="str">
        <f aca="false">_xlfn.CONCAT(J73:N73)</f>
        <v>curl -X POST 127.0.0.1:8090/api/collections/provinces/records -d '{"row":25,"name":"Balıkesir","trid":"TR10","ske_status":"Aktif","start_year":2024,"gender_equality":10,"region":"MARMARA","high_schools":"Aktif","universities":"Aktif"}' -H 'Content-Type: application/json' &amp;&amp;</v>
      </c>
    </row>
    <row r="74" customFormat="false" ht="15.75" hidden="false" customHeight="false" outlineLevel="0" collapsed="false">
      <c r="A74" s="1" t="n">
        <v>24</v>
      </c>
      <c r="B74" s="1" t="s">
        <v>171</v>
      </c>
      <c r="C74" s="1" t="s">
        <v>172</v>
      </c>
      <c r="D74" s="1" t="s">
        <v>11</v>
      </c>
      <c r="E74" s="1" t="n">
        <v>2025</v>
      </c>
      <c r="F74" s="1" t="n">
        <v>64</v>
      </c>
      <c r="G74" s="1" t="s">
        <v>170</v>
      </c>
      <c r="H74" s="1" t="s">
        <v>11</v>
      </c>
      <c r="I74" s="2" t="s">
        <v>11</v>
      </c>
      <c r="J74" s="0" t="s">
        <v>13</v>
      </c>
      <c r="K74" s="0" t="str">
        <f aca="false">_xlfn.CONCAT("""row"":", A74,",""name"":""",B74,""",""trid"":""",C74,""",""ske_status"":""",D74,""",")</f>
        <v>"row":24,"name":"Bilecik","trid":"TR11","ske_status":"Aktif",</v>
      </c>
      <c r="L74" s="0" t="str">
        <f aca="false">IF(ISBLANK(E74),"",_xlfn.CONCAT("""start_year"":",E74,","))</f>
        <v>"start_year":2025,</v>
      </c>
      <c r="M74" s="0" t="str">
        <f aca="false">_xlfn.CONCAT("""gender_equality"":",F74,",""region"":""",G74,""",""high_schools"":""",H74,""",""universities"":""",I74,"""")</f>
        <v>"gender_equality":64,"region":"MARMARA","high_schools":"Aktif","universities":"Aktif"</v>
      </c>
      <c r="N74" s="0" t="str">
        <f aca="false">N73</f>
        <v>}' -H 'Content-Type: application/json' &amp;&amp;</v>
      </c>
      <c r="O74" s="5" t="str">
        <f aca="false">_xlfn.CONCAT(J74:N74)</f>
        <v>curl -X POST 127.0.0.1:8090/api/collections/provinces/records -d '{"row":24,"name":"Bilecik","trid":"TR11","ske_status":"Aktif","start_year":2025,"gender_equality":64,"region":"MARMARA","high_schools":"Aktif","universities":"Aktif"}' -H 'Content-Type: application/json' &amp;&amp;</v>
      </c>
    </row>
    <row r="75" customFormat="false" ht="15.75" hidden="false" customHeight="false" outlineLevel="0" collapsed="false">
      <c r="A75" s="1" t="n">
        <v>8</v>
      </c>
      <c r="B75" s="1" t="s">
        <v>173</v>
      </c>
      <c r="C75" s="1" t="s">
        <v>174</v>
      </c>
      <c r="D75" s="1" t="s">
        <v>11</v>
      </c>
      <c r="E75" s="1" t="n">
        <v>2024</v>
      </c>
      <c r="F75" s="1" t="n">
        <v>26</v>
      </c>
      <c r="G75" s="1" t="s">
        <v>170</v>
      </c>
      <c r="H75" s="1" t="s">
        <v>11</v>
      </c>
      <c r="I75" s="2" t="s">
        <v>11</v>
      </c>
      <c r="J75" s="0" t="s">
        <v>13</v>
      </c>
      <c r="K75" s="0" t="str">
        <f aca="false">_xlfn.CONCAT("""row"":", A75,",""name"":""",B75,""",""trid"":""",C75,""",""ske_status"":""",D75,""",")</f>
        <v>"row":8,"name":"Bursa","trid":"TR16","ske_status":"Aktif",</v>
      </c>
      <c r="L75" s="0" t="str">
        <f aca="false">IF(ISBLANK(E75),"",_xlfn.CONCAT("""start_year"":",E75,","))</f>
        <v>"start_year":2024,</v>
      </c>
      <c r="M75" s="0" t="str">
        <f aca="false">_xlfn.CONCAT("""gender_equality"":",F75,",""region"":""",G75,""",""high_schools"":""",H75,""",""universities"":""",I75,"""")</f>
        <v>"gender_equality":26,"region":"MARMARA","high_schools":"Aktif","universities":"Aktif"</v>
      </c>
      <c r="N75" s="0" t="str">
        <f aca="false">N74</f>
        <v>}' -H 'Content-Type: application/json' &amp;&amp;</v>
      </c>
      <c r="O75" s="5" t="str">
        <f aca="false">_xlfn.CONCAT(J75:N75)</f>
        <v>curl -X POST 127.0.0.1:8090/api/collections/provinces/records -d '{"row":8,"name":"Bursa","trid":"TR16","ske_status":"Aktif","start_year":2024,"gender_equality":26,"region":"MARMARA","high_schools":"Aktif","universities":"Aktif"}' -H 'Content-Type: application/json' &amp;&amp;</v>
      </c>
    </row>
    <row r="76" customFormat="false" ht="15" hidden="false" customHeight="true" outlineLevel="0" collapsed="false">
      <c r="A76" s="1" t="n">
        <v>2</v>
      </c>
      <c r="B76" s="1" t="s">
        <v>175</v>
      </c>
      <c r="C76" s="1" t="s">
        <v>176</v>
      </c>
      <c r="D76" s="1" t="s">
        <v>11</v>
      </c>
      <c r="E76" s="1" t="n">
        <v>2022</v>
      </c>
      <c r="F76" s="1" t="n">
        <v>37</v>
      </c>
      <c r="G76" s="1" t="s">
        <v>170</v>
      </c>
      <c r="H76" s="1" t="s">
        <v>11</v>
      </c>
      <c r="I76" s="2" t="s">
        <v>11</v>
      </c>
      <c r="J76" s="0" t="s">
        <v>13</v>
      </c>
      <c r="K76" s="0" t="str">
        <f aca="false">_xlfn.CONCAT("""row"":", A76,",""name"":""",B76,""",""trid"":""",C76,""",""ske_status"":""",D76,""",")</f>
        <v>"row":2,"name":"Kocaeli","trid":"TR41","ske_status":"Aktif",</v>
      </c>
      <c r="L76" s="0" t="str">
        <f aca="false">IF(ISBLANK(E76),"",_xlfn.CONCAT("""start_year"":",E76,","))</f>
        <v>"start_year":2022,</v>
      </c>
      <c r="M76" s="0" t="str">
        <f aca="false">_xlfn.CONCAT("""gender_equality"":",F76,",""region"":""",G76,""",""high_schools"":""",H76,""",""universities"":""",I76,"""")</f>
        <v>"gender_equality":37,"region":"MARMARA","high_schools":"Aktif","universities":"Aktif"</v>
      </c>
      <c r="N76" s="0" t="str">
        <f aca="false">N75</f>
        <v>}' -H 'Content-Type: application/json' &amp;&amp;</v>
      </c>
      <c r="O76" s="5" t="str">
        <f aca="false">_xlfn.CONCAT(J76:N76)</f>
        <v>curl -X POST 127.0.0.1:8090/api/collections/provinces/records -d '{"row":2,"name":"Kocaeli","trid":"TR41","ske_status":"Aktif","start_year":2022,"gender_equality":37,"region":"MARMARA","high_schools":"Aktif","universities":"Aktif"}' -H 'Content-Type: application/json' &amp;&amp;</v>
      </c>
    </row>
    <row r="77" customFormat="false" ht="22.5" hidden="false" customHeight="true" outlineLevel="0" collapsed="false">
      <c r="A77" s="1" t="n">
        <v>6</v>
      </c>
      <c r="B77" s="1" t="s">
        <v>177</v>
      </c>
      <c r="C77" s="1" t="s">
        <v>178</v>
      </c>
      <c r="D77" s="1" t="s">
        <v>11</v>
      </c>
      <c r="E77" s="1" t="n">
        <v>2022</v>
      </c>
      <c r="F77" s="1" t="n">
        <v>42</v>
      </c>
      <c r="G77" s="1" t="s">
        <v>170</v>
      </c>
      <c r="H77" s="1" t="s">
        <v>11</v>
      </c>
      <c r="I77" s="2" t="s">
        <v>11</v>
      </c>
      <c r="J77" s="0" t="s">
        <v>13</v>
      </c>
      <c r="K77" s="0" t="str">
        <f aca="false">_xlfn.CONCAT("""row"":", A77,",""name"":""",B77,""",""trid"":""",C77,""",""ske_status"":""",D77,""",")</f>
        <v>"row":6,"name":"Sakarya","trid":"TR54","ske_status":"Aktif",</v>
      </c>
      <c r="L77" s="0" t="str">
        <f aca="false">IF(ISBLANK(E77),"",_xlfn.CONCAT("""start_year"":",E77,","))</f>
        <v>"start_year":2022,</v>
      </c>
      <c r="M77" s="0" t="str">
        <f aca="false">_xlfn.CONCAT("""gender_equality"":",F77,",""region"":""",G77,""",""high_schools"":""",H77,""",""universities"":""",I77,"""")</f>
        <v>"gender_equality":42,"region":"MARMARA","high_schools":"Aktif","universities":"Aktif"</v>
      </c>
      <c r="N77" s="0" t="str">
        <f aca="false">N76</f>
        <v>}' -H 'Content-Type: application/json' &amp;&amp;</v>
      </c>
      <c r="O77" s="5" t="str">
        <f aca="false">_xlfn.CONCAT(J77:N77)</f>
        <v>curl -X POST 127.0.0.1:8090/api/collections/provinces/records -d '{"row":6,"name":"Sakarya","trid":"TR54","ske_status":"Aktif","start_year":2022,"gender_equality":42,"region":"MARMARA","high_schools":"Aktif","universities":"Aktif"}' -H 'Content-Type: application/json' &amp;&amp;</v>
      </c>
    </row>
    <row r="78" customFormat="false" ht="15.75" hidden="false" customHeight="false" outlineLevel="0" collapsed="false">
      <c r="A78" s="1" t="n">
        <v>33</v>
      </c>
      <c r="B78" s="1" t="s">
        <v>179</v>
      </c>
      <c r="C78" s="1" t="s">
        <v>180</v>
      </c>
      <c r="D78" s="1" t="s">
        <v>11</v>
      </c>
      <c r="E78" s="1" t="n">
        <v>2025</v>
      </c>
      <c r="F78" s="1" t="n">
        <v>3</v>
      </c>
      <c r="G78" s="1" t="s">
        <v>170</v>
      </c>
      <c r="H78" s="1" t="s">
        <v>11</v>
      </c>
      <c r="I78" s="2" t="s">
        <v>11</v>
      </c>
      <c r="J78" s="0" t="s">
        <v>13</v>
      </c>
      <c r="K78" s="0" t="str">
        <f aca="false">_xlfn.CONCAT("""row"":", A78,",""name"":""",B78,""",""trid"":""",C78,""",""ske_status"":""",D78,""",")</f>
        <v>"row":33,"name":"Yalova","trid":"TR77","ske_status":"Aktif",</v>
      </c>
      <c r="L78" s="0" t="str">
        <f aca="false">IF(ISBLANK(E78),"",_xlfn.CONCAT("""start_year"":",E78,","))</f>
        <v>"start_year":2025,</v>
      </c>
      <c r="M78" s="0" t="str">
        <f aca="false">_xlfn.CONCAT("""gender_equality"":",F78,",""region"":""",G78,""",""high_schools"":""",H78,""",""universities"":""",I78,"""")</f>
        <v>"gender_equality":3,"region":"MARMARA","high_schools":"Aktif","universities":"Aktif"</v>
      </c>
      <c r="N78" s="0" t="str">
        <f aca="false">N77</f>
        <v>}' -H 'Content-Type: application/json' &amp;&amp;</v>
      </c>
      <c r="O78" s="5" t="str">
        <f aca="false">_xlfn.CONCAT(J78:N78)</f>
        <v>curl -X POST 127.0.0.1:8090/api/collections/provinces/records -d '{"row":33,"name":"Yalova","trid":"TR77","ske_status":"Aktif","start_year":2025,"gender_equality":3,"region":"MARMARA","high_schools":"Aktif","universities":"Aktif"}' -H 'Content-Type: application/json' &amp;&amp;</v>
      </c>
    </row>
    <row r="79" customFormat="false" ht="13.5" hidden="false" customHeight="true" outlineLevel="0" collapsed="false">
      <c r="A79" s="1" t="n">
        <v>64</v>
      </c>
      <c r="B79" s="1" t="s">
        <v>181</v>
      </c>
      <c r="C79" s="1" t="s">
        <v>182</v>
      </c>
      <c r="D79" s="1" t="s">
        <v>11</v>
      </c>
      <c r="E79" s="1" t="n">
        <v>2025</v>
      </c>
      <c r="F79" s="1" t="n">
        <v>5</v>
      </c>
      <c r="G79" s="1" t="s">
        <v>183</v>
      </c>
      <c r="H79" s="1" t="s">
        <v>11</v>
      </c>
      <c r="I79" s="2" t="s">
        <v>11</v>
      </c>
      <c r="J79" s="0" t="s">
        <v>13</v>
      </c>
      <c r="K79" s="0" t="str">
        <f aca="false">_xlfn.CONCAT("""row"":", A79,",""name"":""",B79,""",""trid"":""",C79,""",""ske_status"":""",D79,""",")</f>
        <v>"row":64,"name":"Kırklareli","trid":"TR39","ske_status":"Aktif",</v>
      </c>
      <c r="L79" s="0" t="str">
        <f aca="false">IF(ISBLANK(E79),"",_xlfn.CONCAT("""start_year"":",E79,","))</f>
        <v>"start_year":2025,</v>
      </c>
      <c r="M79" s="0" t="str">
        <f aca="false">_xlfn.CONCAT("""gender_equality"":",F79,",""region"":""",G79,""",""high_schools"":""",H79,""",""universities"":""",I79,"""")</f>
        <v>"gender_equality":5,"region":"TRAKYA","high_schools":"Aktif","universities":"Aktif"</v>
      </c>
      <c r="N79" s="0" t="str">
        <f aca="false">N78</f>
        <v>}' -H 'Content-Type: application/json' &amp;&amp;</v>
      </c>
      <c r="O79" s="5" t="str">
        <f aca="false">_xlfn.CONCAT(J79:N79)</f>
        <v>curl -X POST 127.0.0.1:8090/api/collections/provinces/records -d '{"row":64,"name":"Kırklareli","trid":"TR39","ske_status":"Aktif","start_year":2025,"gender_equality":5,"region":"TRAKYA","high_schools":"Aktif","universities":"Aktif"}' -H 'Content-Type: application/json' &amp;&amp;</v>
      </c>
    </row>
    <row r="80" customFormat="false" ht="15.75" hidden="false" customHeight="false" outlineLevel="0" collapsed="false">
      <c r="A80" s="1" t="n">
        <v>51</v>
      </c>
      <c r="B80" s="1" t="s">
        <v>184</v>
      </c>
      <c r="C80" s="1" t="s">
        <v>185</v>
      </c>
      <c r="D80" s="1" t="s">
        <v>22</v>
      </c>
      <c r="F80" s="1" t="n">
        <v>12</v>
      </c>
      <c r="G80" s="1" t="s">
        <v>183</v>
      </c>
      <c r="H80" s="1" t="s">
        <v>11</v>
      </c>
      <c r="I80" s="2" t="s">
        <v>11</v>
      </c>
      <c r="J80" s="0" t="s">
        <v>13</v>
      </c>
      <c r="K80" s="0" t="str">
        <f aca="false">_xlfn.CONCAT("""row"":", A80,",""name"":""",B80,""",""trid"":""",C80,""",""ske_status"":""",D80,""",")</f>
        <v>"row":51,"name":"Edirne","trid":"TR22","ske_status":"Planlıyor",</v>
      </c>
      <c r="L80" s="0" t="str">
        <f aca="false">IF(ISBLANK(E80),"",_xlfn.CONCAT("""start_year"":",E80,","))</f>
        <v/>
      </c>
      <c r="M80" s="0" t="str">
        <f aca="false">_xlfn.CONCAT("""gender_equality"":",F80,",""region"":""",G80,""",""high_schools"":""",H80,""",""universities"":""",I80,"""")</f>
        <v>"gender_equality":12,"region":"TRAKYA","high_schools":"Aktif","universities":"Aktif"</v>
      </c>
      <c r="N80" s="0" t="str">
        <f aca="false">N79</f>
        <v>}' -H 'Content-Type: application/json' &amp;&amp;</v>
      </c>
      <c r="O80" s="5" t="str">
        <f aca="false">_xlfn.CONCAT(J80:N80)</f>
        <v>curl -X POST 127.0.0.1:8090/api/collections/provinces/records -d '{"row":51,"name":"Edirne","trid":"TR22","ske_status":"Planlıyor","gender_equality":12,"region":"TRAKYA","high_schools":"Aktif","universities":"Aktif"}' -H 'Content-Type: application/json' &amp;&amp;</v>
      </c>
    </row>
    <row r="81" customFormat="false" ht="15.75" hidden="false" customHeight="false" outlineLevel="0" collapsed="false">
      <c r="A81" s="1" t="n">
        <v>50</v>
      </c>
      <c r="B81" s="1" t="s">
        <v>186</v>
      </c>
      <c r="C81" s="1" t="s">
        <v>187</v>
      </c>
      <c r="D81" s="1" t="s">
        <v>42</v>
      </c>
      <c r="F81" s="1" t="n">
        <v>6</v>
      </c>
      <c r="G81" s="1" t="s">
        <v>183</v>
      </c>
      <c r="H81" s="1" t="s">
        <v>11</v>
      </c>
      <c r="I81" s="2" t="s">
        <v>11</v>
      </c>
      <c r="J81" s="0" t="s">
        <v>13</v>
      </c>
      <c r="K81" s="0" t="str">
        <f aca="false">_xlfn.CONCAT("""row"":", A81,",""name"":""",B81,""",""trid"":""",C81,""",""ske_status"":""",D81,""",")</f>
        <v>"row":50,"name":"Çanakkale","trid":"TR17","ske_status":"Yok",</v>
      </c>
      <c r="L81" s="0" t="str">
        <f aca="false">IF(ISBLANK(E81),"",_xlfn.CONCAT("""start_year"":",E81,","))</f>
        <v/>
      </c>
      <c r="M81" s="0" t="str">
        <f aca="false">_xlfn.CONCAT("""gender_equality"":",F81,",""region"":""",G81,""",""high_schools"":""",H81,""",""universities"":""",I81,"""")</f>
        <v>"gender_equality":6,"region":"TRAKYA","high_schools":"Aktif","universities":"Aktif"</v>
      </c>
      <c r="N81" s="0" t="str">
        <f aca="false">N80</f>
        <v>}' -H 'Content-Type: application/json' &amp;&amp;</v>
      </c>
      <c r="O81" s="5" t="str">
        <f aca="false">_xlfn.CONCAT(J81:N81)</f>
        <v>curl -X POST 127.0.0.1:8090/api/collections/provinces/records -d '{"row":50,"name":"Çanakkale","trid":"TR17","ske_status":"Yok","gender_equality":6,"region":"TRAKYA","high_schools":"Aktif","universities":"Aktif"}' -H 'Content-Type: application/json' &amp;&amp;</v>
      </c>
    </row>
    <row r="82" customFormat="false" ht="15.75" hidden="false" customHeight="false" outlineLevel="0" collapsed="false">
      <c r="A82" s="1" t="n">
        <v>12</v>
      </c>
      <c r="B82" s="1" t="s">
        <v>188</v>
      </c>
      <c r="C82" s="1" t="s">
        <v>189</v>
      </c>
      <c r="D82" s="1" t="s">
        <v>11</v>
      </c>
      <c r="E82" s="1" t="n">
        <v>2022</v>
      </c>
      <c r="F82" s="1" t="n">
        <v>17</v>
      </c>
      <c r="G82" s="1" t="s">
        <v>183</v>
      </c>
      <c r="H82" s="1" t="s">
        <v>42</v>
      </c>
      <c r="I82" s="2" t="s">
        <v>42</v>
      </c>
      <c r="J82" s="0" t="s">
        <v>13</v>
      </c>
      <c r="K82" s="0" t="str">
        <f aca="false">_xlfn.CONCAT("""row"":", A82,",""name"":""",B82,""",""trid"":""",C82,""",""ske_status"":""",D82,""",")</f>
        <v>"row":12,"name":"Tekirdağ","trid":"TR59","ske_status":"Aktif",</v>
      </c>
      <c r="L82" s="0" t="str">
        <f aca="false">IF(ISBLANK(E82),"",_xlfn.CONCAT("""start_year"":",E82,","))</f>
        <v>"start_year":2022,</v>
      </c>
      <c r="M82" s="0" t="str">
        <f aca="false">_xlfn.CONCAT("""gender_equality"":",F82,",""region"":""",G82,""",""high_schools"":""",H82,""",""universities"":""",I82,"""")</f>
        <v>"gender_equality":17,"region":"TRAKYA","high_schools":"Yok","universities":"Yok"</v>
      </c>
      <c r="N82" s="0" t="str">
        <f aca="false">N81</f>
        <v>}' -H 'Content-Type: application/json' &amp;&amp;</v>
      </c>
      <c r="O82" s="5" t="str">
        <f aca="false">_xlfn.CONCAT(J82:N82)</f>
        <v>curl -X POST 127.0.0.1:8090/api/collections/provinces/records -d '{"row":12,"name":"Tekirdağ","trid":"TR59","ske_status":"Aktif","start_year":2022,"gender_equality":17,"region":"TRAKYA","high_schools":"Yok","universities":"Yok"}' -H 'Content-Type: application/json' &amp;&amp;</v>
      </c>
    </row>
    <row r="84" customFormat="false" ht="15.75" hidden="false" customHeight="false" outlineLevel="0" collapsed="false">
      <c r="B84" s="7"/>
    </row>
    <row r="85" customFormat="false" ht="15.75" hidden="false" customHeight="false" outlineLevel="0" collapsed="false">
      <c r="B85" s="7"/>
    </row>
    <row r="86" customFormat="false" ht="15.75" hidden="false" customHeight="false" outlineLevel="0" collapsed="false">
      <c r="B86" s="7"/>
    </row>
    <row r="87" customFormat="false" ht="15.75" hidden="false" customHeight="false" outlineLevel="0" collapsed="false">
      <c r="B87" s="7"/>
    </row>
    <row r="88" customFormat="false" ht="15.75" hidden="false" customHeight="false" outlineLevel="0" collapsed="false">
      <c r="B88" s="7"/>
    </row>
    <row r="89" customFormat="false" ht="15.75" hidden="false" customHeight="false" outlineLevel="0" collapsed="false">
      <c r="B89" s="7"/>
    </row>
    <row r="90" customFormat="false" ht="15.75" hidden="false" customHeight="false" outlineLevel="0" collapsed="false">
      <c r="B90" s="7"/>
    </row>
    <row r="91" customFormat="false" ht="15.75" hidden="false" customHeight="false" outlineLevel="0" collapsed="false">
      <c r="B91" s="7"/>
    </row>
    <row r="92" customFormat="false" ht="15.75" hidden="false" customHeight="false" outlineLevel="0" collapsed="false">
      <c r="B92" s="7"/>
      <c r="F92" s="8"/>
      <c r="G92" s="9"/>
    </row>
    <row r="93" customFormat="false" ht="15.75" hidden="false" customHeight="false" outlineLevel="0" collapsed="false">
      <c r="B93" s="7"/>
      <c r="F93" s="8"/>
      <c r="G93" s="9"/>
    </row>
    <row r="94" customFormat="false" ht="15.75" hidden="false" customHeight="false" outlineLevel="0" collapsed="false">
      <c r="B94" s="7"/>
      <c r="F94" s="8"/>
      <c r="G94" s="9"/>
    </row>
    <row r="95" customFormat="false" ht="15.75" hidden="false" customHeight="false" outlineLevel="0" collapsed="false">
      <c r="B95" s="7"/>
      <c r="D95" s="9"/>
      <c r="F95" s="8"/>
      <c r="G95" s="9"/>
      <c r="H95" s="9"/>
    </row>
    <row r="96" customFormat="false" ht="15.75" hidden="false" customHeight="false" outlineLevel="0" collapsed="false">
      <c r="B96" s="7"/>
      <c r="D96" s="9"/>
      <c r="F96" s="8"/>
      <c r="G96" s="9"/>
      <c r="H96" s="9"/>
    </row>
    <row r="97" customFormat="false" ht="15.75" hidden="false" customHeight="false" outlineLevel="0" collapsed="false">
      <c r="B97" s="7"/>
      <c r="D97" s="9"/>
      <c r="F97" s="8"/>
      <c r="G97" s="9"/>
      <c r="H97" s="9"/>
    </row>
    <row r="98" customFormat="false" ht="15.75" hidden="false" customHeight="false" outlineLevel="0" collapsed="false">
      <c r="B98" s="7"/>
      <c r="D98" s="9"/>
      <c r="F98" s="8"/>
      <c r="G98" s="9"/>
      <c r="H98" s="9"/>
    </row>
    <row r="99" customFormat="false" ht="15.75" hidden="false" customHeight="false" outlineLevel="0" collapsed="false">
      <c r="B99" s="7"/>
      <c r="D99" s="9"/>
      <c r="F99" s="8"/>
      <c r="G99" s="9"/>
      <c r="H99" s="9"/>
    </row>
    <row r="100" customFormat="false" ht="15.75" hidden="false" customHeight="false" outlineLevel="0" collapsed="false">
      <c r="B100" s="7"/>
      <c r="D100" s="9"/>
      <c r="F100" s="8"/>
      <c r="G100" s="9"/>
      <c r="H100" s="9"/>
    </row>
    <row r="101" customFormat="false" ht="15.75" hidden="false" customHeight="false" outlineLevel="0" collapsed="false">
      <c r="B101" s="7"/>
      <c r="D101" s="9"/>
      <c r="F101" s="8"/>
      <c r="G101" s="9"/>
      <c r="H101" s="9"/>
    </row>
    <row r="102" customFormat="false" ht="15.75" hidden="false" customHeight="false" outlineLevel="0" collapsed="false">
      <c r="B102" s="7"/>
      <c r="D102" s="9"/>
      <c r="F102" s="8"/>
      <c r="G102" s="9"/>
      <c r="H102" s="9"/>
    </row>
    <row r="103" customFormat="false" ht="15.75" hidden="false" customHeight="false" outlineLevel="0" collapsed="false">
      <c r="B103" s="7"/>
      <c r="D103" s="9"/>
      <c r="F103" s="8"/>
      <c r="G103" s="9"/>
      <c r="H103" s="9"/>
    </row>
    <row r="104" customFormat="false" ht="15.75" hidden="false" customHeight="false" outlineLevel="0" collapsed="false">
      <c r="B104" s="7"/>
      <c r="D104" s="9"/>
      <c r="F104" s="8"/>
      <c r="G104" s="9"/>
      <c r="H104" s="9"/>
    </row>
    <row r="105" customFormat="false" ht="15.75" hidden="false" customHeight="false" outlineLevel="0" collapsed="false">
      <c r="B105" s="7"/>
      <c r="D105" s="9"/>
      <c r="F105" s="8"/>
      <c r="G105" s="9"/>
      <c r="H105" s="9"/>
    </row>
    <row r="106" customFormat="false" ht="15.75" hidden="false" customHeight="false" outlineLevel="0" collapsed="false">
      <c r="B106" s="7"/>
      <c r="D106" s="9"/>
      <c r="F106" s="8"/>
      <c r="G106" s="9"/>
      <c r="H106" s="9"/>
    </row>
    <row r="107" customFormat="false" ht="15.75" hidden="false" customHeight="false" outlineLevel="0" collapsed="false">
      <c r="B107" s="7"/>
      <c r="D107" s="9"/>
      <c r="F107" s="8"/>
      <c r="G107" s="9"/>
      <c r="H107" s="9"/>
    </row>
    <row r="108" customFormat="false" ht="15.75" hidden="false" customHeight="false" outlineLevel="0" collapsed="false">
      <c r="B108" s="7"/>
      <c r="D108" s="9"/>
      <c r="F108" s="8"/>
      <c r="G108" s="9"/>
      <c r="H108" s="9"/>
    </row>
    <row r="109" customFormat="false" ht="15.75" hidden="false" customHeight="false" outlineLevel="0" collapsed="false">
      <c r="F109" s="8"/>
      <c r="G109" s="9"/>
    </row>
    <row r="110" customFormat="false" ht="15.75" hidden="false" customHeight="false" outlineLevel="0" collapsed="false">
      <c r="F110" s="8"/>
      <c r="G110" s="9"/>
    </row>
    <row r="111" customFormat="false" ht="15.75" hidden="false" customHeight="false" outlineLevel="0" collapsed="false">
      <c r="F111" s="8"/>
      <c r="G111" s="9"/>
    </row>
    <row r="112" customFormat="false" ht="15.75" hidden="false" customHeight="false" outlineLevel="0" collapsed="false">
      <c r="F112" s="8"/>
      <c r="G112" s="9"/>
    </row>
    <row r="113" customFormat="false" ht="15.75" hidden="false" customHeight="false" outlineLevel="0" collapsed="false">
      <c r="F113" s="8"/>
      <c r="G113" s="9"/>
    </row>
    <row r="114" customFormat="false" ht="15.75" hidden="false" customHeight="false" outlineLevel="0" collapsed="false">
      <c r="F114" s="8"/>
      <c r="G114" s="9"/>
    </row>
    <row r="115" customFormat="false" ht="15.75" hidden="false" customHeight="false" outlineLevel="0" collapsed="false">
      <c r="F115" s="8"/>
      <c r="G115" s="9"/>
    </row>
    <row r="116" customFormat="false" ht="15.75" hidden="false" customHeight="false" outlineLevel="0" collapsed="false">
      <c r="F116" s="8"/>
      <c r="G116" s="9"/>
    </row>
  </sheetData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&amp;C&amp;"Aptos,Regular"&amp;Kff0000 UNOFFICIAL&amp;1#_x005F_x000D_</oddHeader>
    <oddFooter>&amp;C_x005F_x000D_&amp;1#&amp;"Aptos,Regular"&amp;12&amp;Kff0000 UNOFFICIAL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1640625" defaultRowHeight="15.75" customHeight="true" zeroHeight="false" outlineLevelRow="0" outlineLevelCol="0"/>
  <cols>
    <col collapsed="false" customWidth="true" hidden="false" outlineLevel="0" max="1" min="1" style="10" width="3.33"/>
    <col collapsed="false" customWidth="true" hidden="false" outlineLevel="0" max="2" min="2" style="11" width="19"/>
    <col collapsed="false" customWidth="true" hidden="false" outlineLevel="0" max="3" min="3" style="10" width="19.5"/>
    <col collapsed="false" customWidth="true" hidden="true" outlineLevel="0" max="4" min="4" style="10" width="17.83"/>
    <col collapsed="false" customWidth="true" hidden="false" outlineLevel="0" max="5" min="5" style="10" width="16.5"/>
    <col collapsed="false" customWidth="true" hidden="true" outlineLevel="0" max="6" min="6" style="10" width="15.33"/>
    <col collapsed="false" customWidth="true" hidden="true" outlineLevel="0" max="7" min="7" style="10" width="0.16"/>
    <col collapsed="false" customWidth="true" hidden="false" outlineLevel="0" max="8" min="8" style="10" width="13.83"/>
    <col collapsed="false" customWidth="true" hidden="false" outlineLevel="0" max="9" min="9" style="10" width="13"/>
    <col collapsed="false" customWidth="true" hidden="true" outlineLevel="0" max="10" min="10" style="10" width="0.16"/>
    <col collapsed="false" customWidth="false" hidden="false" outlineLevel="0" max="16384" min="11" style="10" width="9.16"/>
  </cols>
  <sheetData>
    <row r="1" customFormat="false" ht="15.75" hidden="false" customHeight="false" outlineLevel="0" collapsed="false">
      <c r="C1" s="12" t="n">
        <v>46055</v>
      </c>
      <c r="D1" s="13" t="s">
        <v>190</v>
      </c>
      <c r="E1" s="13"/>
      <c r="F1" s="13"/>
      <c r="G1" s="13"/>
      <c r="H1" s="13"/>
      <c r="I1" s="13"/>
      <c r="J1" s="13"/>
    </row>
    <row r="2" s="19" customFormat="true" ht="30.75" hidden="false" customHeight="true" outlineLevel="0" collapsed="false">
      <c r="A2" s="14"/>
      <c r="B2" s="15" t="s">
        <v>191</v>
      </c>
      <c r="C2" s="16" t="s">
        <v>192</v>
      </c>
      <c r="D2" s="17" t="s">
        <v>193</v>
      </c>
      <c r="E2" s="17" t="s">
        <v>194</v>
      </c>
      <c r="F2" s="16" t="s">
        <v>195</v>
      </c>
      <c r="G2" s="18" t="s">
        <v>196</v>
      </c>
      <c r="H2" s="18" t="s">
        <v>197</v>
      </c>
      <c r="I2" s="18" t="s">
        <v>198</v>
      </c>
      <c r="J2" s="18" t="s">
        <v>199</v>
      </c>
    </row>
    <row r="3" customFormat="false" ht="17.9" hidden="false" customHeight="false" outlineLevel="0" collapsed="false">
      <c r="A3" s="20"/>
      <c r="B3" s="21" t="s">
        <v>12</v>
      </c>
      <c r="C3" s="20" t="s">
        <v>12</v>
      </c>
      <c r="D3" s="20" t="s">
        <v>200</v>
      </c>
      <c r="E3" s="20" t="s">
        <v>200</v>
      </c>
      <c r="F3" s="14" t="s">
        <v>200</v>
      </c>
      <c r="G3" s="20"/>
      <c r="H3" s="20" t="s">
        <v>200</v>
      </c>
      <c r="I3" s="20" t="s">
        <v>200</v>
      </c>
      <c r="J3" s="22" t="s">
        <v>200</v>
      </c>
    </row>
    <row r="4" customFormat="false" ht="15.75" hidden="false" customHeight="false" outlineLevel="0" collapsed="false">
      <c r="A4" s="20" t="n">
        <v>1</v>
      </c>
      <c r="B4" s="23" t="s">
        <v>17</v>
      </c>
      <c r="C4" s="24" t="s">
        <v>201</v>
      </c>
      <c r="D4" s="24" t="s">
        <v>200</v>
      </c>
      <c r="E4" s="24" t="s">
        <v>200</v>
      </c>
      <c r="F4" s="24" t="s">
        <v>200</v>
      </c>
      <c r="G4" s="24" t="s">
        <v>202</v>
      </c>
      <c r="H4" s="24" t="s">
        <v>200</v>
      </c>
      <c r="I4" s="24" t="s">
        <v>200</v>
      </c>
      <c r="J4" s="24" t="s">
        <v>200</v>
      </c>
    </row>
    <row r="5" customFormat="false" ht="15.75" hidden="false" customHeight="false" outlineLevel="0" collapsed="false">
      <c r="A5" s="20" t="n">
        <v>2</v>
      </c>
      <c r="B5" s="23" t="s">
        <v>17</v>
      </c>
      <c r="C5" s="24" t="s">
        <v>203</v>
      </c>
      <c r="D5" s="24" t="s">
        <v>200</v>
      </c>
      <c r="E5" s="24" t="s">
        <v>200</v>
      </c>
      <c r="F5" s="25"/>
      <c r="G5" s="24" t="s">
        <v>200</v>
      </c>
      <c r="H5" s="24" t="s">
        <v>200</v>
      </c>
      <c r="I5" s="24" t="s">
        <v>200</v>
      </c>
      <c r="J5" s="24" t="s">
        <v>200</v>
      </c>
    </row>
    <row r="6" customFormat="false" ht="15.75" hidden="false" customHeight="false" outlineLevel="0" collapsed="false">
      <c r="A6" s="20" t="n">
        <v>3</v>
      </c>
      <c r="B6" s="23" t="s">
        <v>17</v>
      </c>
      <c r="C6" s="24" t="s">
        <v>204</v>
      </c>
      <c r="D6" s="24" t="s">
        <v>200</v>
      </c>
      <c r="E6" s="24" t="s">
        <v>205</v>
      </c>
      <c r="F6" s="24"/>
      <c r="G6" s="24" t="s">
        <v>205</v>
      </c>
      <c r="H6" s="24" t="s">
        <v>200</v>
      </c>
      <c r="I6" s="24" t="s">
        <v>200</v>
      </c>
      <c r="J6" s="24" t="s">
        <v>200</v>
      </c>
    </row>
    <row r="7" customFormat="false" ht="22.5" hidden="false" customHeight="true" outlineLevel="0" collapsed="false">
      <c r="A7" s="20" t="n">
        <v>4</v>
      </c>
      <c r="B7" s="23" t="s">
        <v>17</v>
      </c>
      <c r="C7" s="24" t="s">
        <v>206</v>
      </c>
      <c r="D7" s="24" t="s">
        <v>200</v>
      </c>
      <c r="E7" s="24" t="s">
        <v>202</v>
      </c>
      <c r="F7" s="24"/>
      <c r="G7" s="24" t="s">
        <v>207</v>
      </c>
      <c r="H7" s="24" t="s">
        <v>200</v>
      </c>
      <c r="I7" s="24" t="s">
        <v>200</v>
      </c>
      <c r="J7" s="24" t="s">
        <v>200</v>
      </c>
    </row>
    <row r="8" customFormat="false" ht="15.75" hidden="false" customHeight="false" outlineLevel="0" collapsed="false">
      <c r="A8" s="20" t="n">
        <v>1</v>
      </c>
      <c r="B8" s="26" t="s">
        <v>27</v>
      </c>
      <c r="C8" s="20" t="s">
        <v>208</v>
      </c>
      <c r="D8" s="20"/>
      <c r="E8" s="20" t="s">
        <v>200</v>
      </c>
      <c r="F8" s="20"/>
      <c r="G8" s="20" t="s">
        <v>200</v>
      </c>
      <c r="H8" s="20" t="s">
        <v>200</v>
      </c>
      <c r="I8" s="20" t="s">
        <v>200</v>
      </c>
      <c r="J8" s="22"/>
    </row>
    <row r="9" customFormat="false" ht="22.5" hidden="false" customHeight="true" outlineLevel="0" collapsed="false">
      <c r="A9" s="20" t="n">
        <v>2</v>
      </c>
      <c r="B9" s="26" t="s">
        <v>27</v>
      </c>
      <c r="C9" s="20" t="s">
        <v>209</v>
      </c>
      <c r="D9" s="14" t="s">
        <v>200</v>
      </c>
      <c r="E9" s="14" t="s">
        <v>205</v>
      </c>
      <c r="F9" s="14" t="s">
        <v>200</v>
      </c>
      <c r="G9" s="14" t="s">
        <v>205</v>
      </c>
      <c r="H9" s="14" t="s">
        <v>200</v>
      </c>
      <c r="I9" s="14" t="s">
        <v>200</v>
      </c>
      <c r="J9" s="27" t="s">
        <v>205</v>
      </c>
    </row>
    <row r="10" customFormat="false" ht="15.75" hidden="false" customHeight="false" outlineLevel="0" collapsed="false">
      <c r="A10" s="20" t="n">
        <v>3</v>
      </c>
      <c r="B10" s="26" t="s">
        <v>27</v>
      </c>
      <c r="C10" s="24" t="s">
        <v>210</v>
      </c>
      <c r="D10" s="24" t="s">
        <v>205</v>
      </c>
      <c r="E10" s="28" t="s">
        <v>200</v>
      </c>
      <c r="F10" s="28"/>
      <c r="G10" s="28" t="s">
        <v>205</v>
      </c>
      <c r="H10" s="28" t="s">
        <v>200</v>
      </c>
      <c r="I10" s="28" t="s">
        <v>200</v>
      </c>
      <c r="J10" s="28" t="s">
        <v>205</v>
      </c>
    </row>
    <row r="11" customFormat="false" ht="15.75" hidden="false" customHeight="false" outlineLevel="0" collapsed="false">
      <c r="A11" s="20" t="n">
        <v>4</v>
      </c>
      <c r="B11" s="26" t="s">
        <v>27</v>
      </c>
      <c r="C11" s="24" t="s">
        <v>211</v>
      </c>
      <c r="D11" s="24" t="s">
        <v>212</v>
      </c>
      <c r="E11" s="24" t="s">
        <v>200</v>
      </c>
      <c r="F11" s="24" t="s">
        <v>200</v>
      </c>
      <c r="G11" s="24"/>
      <c r="H11" s="24" t="s">
        <v>200</v>
      </c>
      <c r="I11" s="24" t="s">
        <v>200</v>
      </c>
      <c r="J11" s="29"/>
    </row>
    <row r="12" customFormat="false" ht="15.75" hidden="false" customHeight="false" outlineLevel="0" collapsed="false">
      <c r="A12" s="20" t="n">
        <v>5</v>
      </c>
      <c r="B12" s="26" t="s">
        <v>27</v>
      </c>
      <c r="C12" s="20" t="s">
        <v>213</v>
      </c>
      <c r="D12" s="20"/>
      <c r="E12" s="30" t="s">
        <v>200</v>
      </c>
      <c r="F12" s="30" t="s">
        <v>200</v>
      </c>
      <c r="G12" s="31" t="s">
        <v>200</v>
      </c>
      <c r="H12" s="31" t="s">
        <v>200</v>
      </c>
      <c r="I12" s="31" t="s">
        <v>200</v>
      </c>
      <c r="J12" s="31" t="s">
        <v>200</v>
      </c>
    </row>
    <row r="13" customFormat="false" ht="15.75" hidden="false" customHeight="false" outlineLevel="0" collapsed="false">
      <c r="A13" s="20" t="n">
        <v>6</v>
      </c>
      <c r="B13" s="26" t="s">
        <v>27</v>
      </c>
      <c r="C13" s="20" t="s">
        <v>214</v>
      </c>
      <c r="D13" s="20"/>
      <c r="E13" s="20" t="s">
        <v>200</v>
      </c>
      <c r="F13" s="20"/>
      <c r="G13" s="20"/>
      <c r="H13" s="20"/>
      <c r="I13" s="20"/>
      <c r="J13" s="20"/>
    </row>
    <row r="14" customFormat="false" ht="15.75" hidden="false" customHeight="false" outlineLevel="0" collapsed="false">
      <c r="A14" s="20" t="n">
        <v>7</v>
      </c>
      <c r="B14" s="26" t="s">
        <v>27</v>
      </c>
      <c r="C14" s="20" t="s">
        <v>215</v>
      </c>
      <c r="D14" s="20" t="s">
        <v>200</v>
      </c>
      <c r="E14" s="20" t="s">
        <v>200</v>
      </c>
      <c r="F14" s="20"/>
      <c r="G14" s="20"/>
      <c r="H14" s="20"/>
      <c r="I14" s="20" t="s">
        <v>200</v>
      </c>
      <c r="J14" s="20" t="s">
        <v>200</v>
      </c>
    </row>
    <row r="15" customFormat="false" ht="17.9" hidden="false" customHeight="false" outlineLevel="0" collapsed="false">
      <c r="A15" s="20" t="n">
        <v>8</v>
      </c>
      <c r="B15" s="26" t="s">
        <v>27</v>
      </c>
      <c r="C15" s="20" t="s">
        <v>216</v>
      </c>
      <c r="D15" s="20" t="s">
        <v>200</v>
      </c>
      <c r="E15" s="30" t="s">
        <v>200</v>
      </c>
      <c r="F15" s="32" t="s">
        <v>200</v>
      </c>
      <c r="G15" s="30" t="s">
        <v>200</v>
      </c>
      <c r="H15" s="30" t="s">
        <v>200</v>
      </c>
      <c r="I15" s="30" t="s">
        <v>200</v>
      </c>
      <c r="J15" s="32" t="s">
        <v>200</v>
      </c>
    </row>
    <row r="16" customFormat="false" ht="15.75" hidden="false" customHeight="false" outlineLevel="0" collapsed="false">
      <c r="A16" s="20" t="n">
        <v>9</v>
      </c>
      <c r="B16" s="26" t="s">
        <v>27</v>
      </c>
      <c r="C16" s="24" t="s">
        <v>217</v>
      </c>
      <c r="D16" s="24" t="s">
        <v>200</v>
      </c>
      <c r="E16" s="28" t="s">
        <v>200</v>
      </c>
      <c r="F16" s="28" t="s">
        <v>200</v>
      </c>
      <c r="G16" s="28" t="s">
        <v>200</v>
      </c>
      <c r="H16" s="28" t="s">
        <v>200</v>
      </c>
      <c r="I16" s="28" t="s">
        <v>218</v>
      </c>
      <c r="J16" s="28" t="s">
        <v>200</v>
      </c>
    </row>
    <row r="17" customFormat="false" ht="15.75" hidden="false" customHeight="false" outlineLevel="0" collapsed="false">
      <c r="A17" s="20" t="n">
        <v>10</v>
      </c>
      <c r="B17" s="26" t="s">
        <v>27</v>
      </c>
      <c r="C17" s="20" t="s">
        <v>219</v>
      </c>
      <c r="D17" s="20" t="s">
        <v>200</v>
      </c>
      <c r="E17" s="30" t="s">
        <v>200</v>
      </c>
      <c r="F17" s="30"/>
      <c r="G17" s="30" t="s">
        <v>200</v>
      </c>
      <c r="H17" s="30" t="s">
        <v>200</v>
      </c>
      <c r="I17" s="30" t="s">
        <v>200</v>
      </c>
      <c r="J17" s="30" t="s">
        <v>200</v>
      </c>
    </row>
    <row r="18" customFormat="false" ht="15.75" hidden="false" customHeight="false" outlineLevel="0" collapsed="false">
      <c r="A18" s="20" t="n">
        <v>11</v>
      </c>
      <c r="B18" s="26" t="s">
        <v>27</v>
      </c>
      <c r="C18" s="20" t="s">
        <v>220</v>
      </c>
      <c r="D18" s="20"/>
      <c r="E18" s="20" t="s">
        <v>200</v>
      </c>
      <c r="F18" s="20"/>
      <c r="G18" s="33"/>
      <c r="H18" s="20" t="s">
        <v>200</v>
      </c>
      <c r="I18" s="20"/>
      <c r="J18" s="20"/>
    </row>
    <row r="19" customFormat="false" ht="15.75" hidden="false" customHeight="false" outlineLevel="0" collapsed="false">
      <c r="A19" s="20" t="n">
        <v>1</v>
      </c>
      <c r="B19" s="34" t="s">
        <v>51</v>
      </c>
      <c r="C19" s="24" t="s">
        <v>221</v>
      </c>
      <c r="D19" s="24" t="s">
        <v>200</v>
      </c>
      <c r="E19" s="24" t="s">
        <v>200</v>
      </c>
      <c r="F19" s="24"/>
      <c r="G19" s="24"/>
      <c r="H19" s="24"/>
      <c r="I19" s="24" t="s">
        <v>218</v>
      </c>
      <c r="J19" s="29"/>
    </row>
    <row r="20" customFormat="false" ht="17.9" hidden="false" customHeight="false" outlineLevel="0" collapsed="false">
      <c r="A20" s="20" t="n">
        <v>2</v>
      </c>
      <c r="B20" s="34" t="s">
        <v>51</v>
      </c>
      <c r="C20" s="24" t="s">
        <v>222</v>
      </c>
      <c r="D20" s="24" t="s">
        <v>200</v>
      </c>
      <c r="E20" s="24" t="s">
        <v>200</v>
      </c>
      <c r="F20" s="25" t="s">
        <v>200</v>
      </c>
      <c r="G20" s="24"/>
      <c r="H20" s="24" t="s">
        <v>200</v>
      </c>
      <c r="I20" s="24" t="s">
        <v>200</v>
      </c>
      <c r="J20" s="29"/>
    </row>
    <row r="21" customFormat="false" ht="15.75" hidden="false" customHeight="false" outlineLevel="0" collapsed="false">
      <c r="A21" s="20" t="n">
        <v>3</v>
      </c>
      <c r="B21" s="34" t="s">
        <v>51</v>
      </c>
      <c r="C21" s="24" t="s">
        <v>223</v>
      </c>
      <c r="D21" s="24"/>
      <c r="E21" s="24" t="s">
        <v>200</v>
      </c>
      <c r="F21" s="24" t="s">
        <v>200</v>
      </c>
      <c r="G21" s="24"/>
      <c r="H21" s="24" t="s">
        <v>200</v>
      </c>
      <c r="I21" s="24" t="s">
        <v>200</v>
      </c>
      <c r="J21" s="29"/>
    </row>
    <row r="22" customFormat="false" ht="15.75" hidden="false" customHeight="false" outlineLevel="0" collapsed="false">
      <c r="A22" s="20" t="n">
        <v>4</v>
      </c>
      <c r="B22" s="34" t="s">
        <v>51</v>
      </c>
      <c r="C22" s="24" t="s">
        <v>224</v>
      </c>
      <c r="D22" s="24"/>
      <c r="E22" s="24" t="s">
        <v>200</v>
      </c>
      <c r="F22" s="24"/>
      <c r="G22" s="24"/>
      <c r="H22" s="29" t="s">
        <v>200</v>
      </c>
      <c r="I22" s="29" t="s">
        <v>200</v>
      </c>
      <c r="J22" s="29" t="s">
        <v>200</v>
      </c>
    </row>
    <row r="23" customFormat="false" ht="15.75" hidden="false" customHeight="false" outlineLevel="0" collapsed="false">
      <c r="A23" s="20" t="n">
        <v>5</v>
      </c>
      <c r="B23" s="34" t="s">
        <v>51</v>
      </c>
      <c r="C23" s="24" t="s">
        <v>225</v>
      </c>
      <c r="D23" s="24" t="s">
        <v>200</v>
      </c>
      <c r="E23" s="24"/>
      <c r="F23" s="24"/>
      <c r="G23" s="35"/>
      <c r="H23" s="24" t="s">
        <v>200</v>
      </c>
      <c r="I23" s="24"/>
      <c r="J23" s="24" t="s">
        <v>200</v>
      </c>
    </row>
    <row r="24" customFormat="false" ht="15.75" hidden="false" customHeight="false" outlineLevel="0" collapsed="false">
      <c r="A24" s="20" t="n">
        <v>1</v>
      </c>
      <c r="B24" s="36" t="s">
        <v>62</v>
      </c>
      <c r="C24" s="20" t="s">
        <v>226</v>
      </c>
      <c r="D24" s="20"/>
      <c r="E24" s="20"/>
      <c r="F24" s="20"/>
      <c r="G24" s="33"/>
      <c r="H24" s="20"/>
      <c r="I24" s="20" t="s">
        <v>200</v>
      </c>
      <c r="J24" s="20"/>
    </row>
    <row r="25" customFormat="false" ht="15.75" hidden="false" customHeight="false" outlineLevel="0" collapsed="false">
      <c r="A25" s="20" t="n">
        <v>2</v>
      </c>
      <c r="B25" s="36" t="s">
        <v>62</v>
      </c>
      <c r="C25" s="20" t="s">
        <v>227</v>
      </c>
      <c r="D25" s="20"/>
      <c r="E25" s="20"/>
      <c r="F25" s="20"/>
      <c r="G25" s="33"/>
      <c r="H25" s="20"/>
      <c r="I25" s="20" t="s">
        <v>200</v>
      </c>
      <c r="J25" s="20" t="s">
        <v>205</v>
      </c>
    </row>
    <row r="26" customFormat="false" ht="15.75" hidden="false" customHeight="false" outlineLevel="0" collapsed="false">
      <c r="A26" s="20" t="n">
        <v>3</v>
      </c>
      <c r="B26" s="36" t="s">
        <v>62</v>
      </c>
      <c r="C26" s="20" t="s">
        <v>228</v>
      </c>
      <c r="D26" s="20"/>
      <c r="E26" s="20"/>
      <c r="F26" s="37"/>
      <c r="G26" s="20"/>
      <c r="H26" s="20"/>
      <c r="I26" s="20" t="s">
        <v>200</v>
      </c>
      <c r="J26" s="20"/>
    </row>
    <row r="27" customFormat="false" ht="15.75" hidden="false" customHeight="false" outlineLevel="0" collapsed="false">
      <c r="A27" s="20" t="n">
        <v>4</v>
      </c>
      <c r="B27" s="36" t="s">
        <v>62</v>
      </c>
      <c r="C27" s="20" t="s">
        <v>229</v>
      </c>
      <c r="D27" s="20"/>
      <c r="E27" s="20"/>
      <c r="F27" s="20"/>
      <c r="G27" s="20"/>
      <c r="H27" s="20"/>
      <c r="I27" s="20" t="s">
        <v>200</v>
      </c>
      <c r="J27" s="22"/>
    </row>
    <row r="28" customFormat="false" ht="15.75" hidden="false" customHeight="false" outlineLevel="0" collapsed="false">
      <c r="A28" s="20" t="n">
        <v>5</v>
      </c>
      <c r="B28" s="36" t="s">
        <v>62</v>
      </c>
      <c r="C28" s="20" t="s">
        <v>230</v>
      </c>
      <c r="D28" s="20"/>
      <c r="E28" s="20"/>
      <c r="F28" s="20"/>
      <c r="G28" s="33"/>
      <c r="H28" s="20" t="s">
        <v>200</v>
      </c>
      <c r="I28" s="20" t="s">
        <v>200</v>
      </c>
      <c r="J28" s="20"/>
    </row>
    <row r="29" customFormat="false" ht="15.75" hidden="false" customHeight="false" outlineLevel="0" collapsed="false">
      <c r="A29" s="20" t="n">
        <v>6</v>
      </c>
      <c r="B29" s="36" t="s">
        <v>62</v>
      </c>
      <c r="C29" s="20" t="s">
        <v>231</v>
      </c>
      <c r="D29" s="20"/>
      <c r="E29" s="20"/>
      <c r="F29" s="20"/>
      <c r="G29" s="20"/>
      <c r="H29" s="20" t="s">
        <v>200</v>
      </c>
      <c r="I29" s="20" t="s">
        <v>200</v>
      </c>
      <c r="J29" s="27"/>
    </row>
    <row r="30" customFormat="false" ht="15.75" hidden="false" customHeight="false" outlineLevel="0" collapsed="false">
      <c r="A30" s="20" t="n">
        <v>7</v>
      </c>
      <c r="B30" s="36" t="s">
        <v>62</v>
      </c>
      <c r="C30" s="20" t="s">
        <v>232</v>
      </c>
      <c r="D30" s="20" t="s">
        <v>200</v>
      </c>
      <c r="E30" s="20" t="s">
        <v>200</v>
      </c>
      <c r="F30" s="20"/>
      <c r="G30" s="20" t="s">
        <v>200</v>
      </c>
      <c r="H30" s="20" t="s">
        <v>200</v>
      </c>
      <c r="I30" s="20" t="s">
        <v>200</v>
      </c>
      <c r="J30" s="22" t="s">
        <v>200</v>
      </c>
    </row>
    <row r="31" customFormat="false" ht="15.75" hidden="false" customHeight="false" outlineLevel="0" collapsed="false">
      <c r="A31" s="20" t="n">
        <v>8</v>
      </c>
      <c r="B31" s="36" t="s">
        <v>62</v>
      </c>
      <c r="C31" s="24" t="s">
        <v>233</v>
      </c>
      <c r="D31" s="24" t="s">
        <v>200</v>
      </c>
      <c r="E31" s="24"/>
      <c r="F31" s="25"/>
      <c r="G31" s="24"/>
      <c r="H31" s="24" t="s">
        <v>200</v>
      </c>
      <c r="I31" s="24" t="s">
        <v>200</v>
      </c>
      <c r="J31" s="29" t="s">
        <v>200</v>
      </c>
    </row>
    <row r="32" customFormat="false" ht="15.75" hidden="false" customHeight="false" outlineLevel="0" collapsed="false">
      <c r="A32" s="20" t="n">
        <v>9</v>
      </c>
      <c r="B32" s="36" t="s">
        <v>62</v>
      </c>
      <c r="C32" s="20" t="s">
        <v>234</v>
      </c>
      <c r="D32" s="20"/>
      <c r="E32" s="20"/>
      <c r="F32" s="20"/>
      <c r="G32" s="20"/>
      <c r="H32" s="20"/>
      <c r="I32" s="20" t="s">
        <v>200</v>
      </c>
      <c r="J32" s="22"/>
    </row>
    <row r="33" customFormat="false" ht="15.75" hidden="false" customHeight="false" outlineLevel="0" collapsed="false">
      <c r="A33" s="20" t="n">
        <v>10</v>
      </c>
      <c r="B33" s="36" t="s">
        <v>62</v>
      </c>
      <c r="C33" s="20" t="s">
        <v>235</v>
      </c>
      <c r="D33" s="20"/>
      <c r="E33" s="20" t="s">
        <v>200</v>
      </c>
      <c r="F33" s="20"/>
      <c r="G33" s="20" t="s">
        <v>200</v>
      </c>
      <c r="H33" s="20" t="s">
        <v>200</v>
      </c>
      <c r="I33" s="20" t="s">
        <v>200</v>
      </c>
      <c r="J33" s="22" t="s">
        <v>200</v>
      </c>
    </row>
    <row r="34" customFormat="false" ht="15.75" hidden="false" customHeight="false" outlineLevel="0" collapsed="false">
      <c r="A34" s="20" t="n">
        <v>11</v>
      </c>
      <c r="B34" s="36" t="s">
        <v>62</v>
      </c>
      <c r="C34" s="20" t="s">
        <v>236</v>
      </c>
      <c r="D34" s="20"/>
      <c r="E34" s="20"/>
      <c r="F34" s="20"/>
      <c r="G34" s="33"/>
      <c r="H34" s="20"/>
      <c r="I34" s="20" t="s">
        <v>200</v>
      </c>
      <c r="J34" s="20"/>
    </row>
    <row r="35" customFormat="false" ht="15.75" hidden="false" customHeight="false" outlineLevel="0" collapsed="false">
      <c r="A35" s="20" t="n">
        <v>12</v>
      </c>
      <c r="B35" s="36" t="s">
        <v>62</v>
      </c>
      <c r="C35" s="24" t="s">
        <v>237</v>
      </c>
      <c r="D35" s="24"/>
      <c r="E35" s="24"/>
      <c r="F35" s="24" t="s">
        <v>200</v>
      </c>
      <c r="G35" s="24" t="s">
        <v>200</v>
      </c>
      <c r="H35" s="24" t="s">
        <v>200</v>
      </c>
      <c r="I35" s="24" t="s">
        <v>200</v>
      </c>
      <c r="J35" s="29"/>
    </row>
    <row r="36" customFormat="false" ht="33.75" hidden="false" customHeight="true" outlineLevel="0" collapsed="false">
      <c r="A36" s="20" t="n">
        <v>13</v>
      </c>
      <c r="B36" s="36" t="s">
        <v>62</v>
      </c>
      <c r="C36" s="20" t="s">
        <v>238</v>
      </c>
      <c r="D36" s="20"/>
      <c r="E36" s="20"/>
      <c r="F36" s="20"/>
      <c r="G36" s="14" t="s">
        <v>205</v>
      </c>
      <c r="H36" s="20" t="s">
        <v>200</v>
      </c>
      <c r="I36" s="20" t="s">
        <v>200</v>
      </c>
      <c r="J36" s="22"/>
    </row>
    <row r="37" customFormat="false" ht="17.9" hidden="false" customHeight="false" outlineLevel="0" collapsed="false">
      <c r="A37" s="20" t="n">
        <v>1</v>
      </c>
      <c r="B37" s="38" t="s">
        <v>89</v>
      </c>
      <c r="C37" s="20" t="s">
        <v>239</v>
      </c>
      <c r="D37" s="20" t="s">
        <v>200</v>
      </c>
      <c r="E37" s="20" t="s">
        <v>200</v>
      </c>
      <c r="F37" s="14"/>
      <c r="G37" s="20"/>
      <c r="H37" s="20"/>
      <c r="I37" s="20"/>
      <c r="J37" s="27" t="s">
        <v>200</v>
      </c>
    </row>
    <row r="38" customFormat="false" ht="17.9" hidden="false" customHeight="false" outlineLevel="0" collapsed="false">
      <c r="A38" s="20" t="n">
        <v>2</v>
      </c>
      <c r="B38" s="38" t="s">
        <v>89</v>
      </c>
      <c r="C38" s="24" t="s">
        <v>240</v>
      </c>
      <c r="D38" s="39" t="s">
        <v>200</v>
      </c>
      <c r="E38" s="39" t="s">
        <v>200</v>
      </c>
      <c r="F38" s="25"/>
      <c r="G38" s="40" t="s">
        <v>200</v>
      </c>
      <c r="H38" s="39" t="s">
        <v>200</v>
      </c>
      <c r="I38" s="41"/>
      <c r="J38" s="41"/>
    </row>
    <row r="39" customFormat="false" ht="17.9" hidden="false" customHeight="false" outlineLevel="0" collapsed="false">
      <c r="A39" s="20" t="n">
        <v>3</v>
      </c>
      <c r="B39" s="38" t="s">
        <v>89</v>
      </c>
      <c r="C39" s="24" t="s">
        <v>241</v>
      </c>
      <c r="D39" s="25" t="s">
        <v>205</v>
      </c>
      <c r="E39" s="25" t="s">
        <v>205</v>
      </c>
      <c r="F39" s="24"/>
      <c r="G39" s="24" t="s">
        <v>200</v>
      </c>
      <c r="H39" s="24" t="s">
        <v>200</v>
      </c>
      <c r="I39" s="25" t="s">
        <v>200</v>
      </c>
      <c r="J39" s="29" t="s">
        <v>200</v>
      </c>
    </row>
    <row r="40" customFormat="false" ht="15.75" hidden="false" customHeight="false" outlineLevel="0" collapsed="false">
      <c r="A40" s="20" t="n">
        <v>4</v>
      </c>
      <c r="B40" s="38" t="s">
        <v>89</v>
      </c>
      <c r="C40" s="20" t="s">
        <v>242</v>
      </c>
      <c r="D40" s="20"/>
      <c r="E40" s="20" t="s">
        <v>200</v>
      </c>
      <c r="F40" s="20"/>
      <c r="G40" s="33"/>
      <c r="H40" s="20" t="s">
        <v>200</v>
      </c>
      <c r="I40" s="20" t="s">
        <v>200</v>
      </c>
      <c r="J40" s="20"/>
    </row>
    <row r="41" customFormat="false" ht="15.75" hidden="false" customHeight="false" outlineLevel="0" collapsed="false">
      <c r="A41" s="20" t="n">
        <v>5</v>
      </c>
      <c r="B41" s="38" t="s">
        <v>89</v>
      </c>
      <c r="C41" s="24" t="s">
        <v>243</v>
      </c>
      <c r="D41" s="24" t="s">
        <v>200</v>
      </c>
      <c r="E41" s="24" t="s">
        <v>200</v>
      </c>
      <c r="F41" s="24"/>
      <c r="G41" s="24" t="s">
        <v>205</v>
      </c>
      <c r="H41" s="24" t="s">
        <v>200</v>
      </c>
      <c r="I41" s="24" t="s">
        <v>200</v>
      </c>
      <c r="J41" s="29" t="s">
        <v>200</v>
      </c>
    </row>
    <row r="42" customFormat="false" ht="15.75" hidden="false" customHeight="false" outlineLevel="0" collapsed="false">
      <c r="A42" s="20" t="n">
        <v>6</v>
      </c>
      <c r="B42" s="38" t="s">
        <v>89</v>
      </c>
      <c r="C42" s="20" t="s">
        <v>244</v>
      </c>
      <c r="D42" s="20"/>
      <c r="E42" s="20"/>
      <c r="F42" s="20"/>
      <c r="G42" s="20"/>
      <c r="H42" s="20" t="s">
        <v>200</v>
      </c>
      <c r="I42" s="20" t="s">
        <v>200</v>
      </c>
      <c r="J42" s="22"/>
    </row>
    <row r="43" customFormat="false" ht="15.75" hidden="false" customHeight="false" outlineLevel="0" collapsed="false">
      <c r="A43" s="20" t="n">
        <v>7</v>
      </c>
      <c r="B43" s="38" t="s">
        <v>89</v>
      </c>
      <c r="C43" s="20" t="s">
        <v>245</v>
      </c>
      <c r="D43" s="20"/>
      <c r="E43" s="20"/>
      <c r="F43" s="20"/>
      <c r="G43" s="20"/>
      <c r="H43" s="20" t="s">
        <v>200</v>
      </c>
      <c r="I43" s="20" t="s">
        <v>200</v>
      </c>
      <c r="J43" s="22" t="s">
        <v>200</v>
      </c>
    </row>
    <row r="44" customFormat="false" ht="17.9" hidden="false" customHeight="false" outlineLevel="0" collapsed="false">
      <c r="A44" s="20" t="n">
        <v>1</v>
      </c>
      <c r="B44" s="42" t="s">
        <v>246</v>
      </c>
      <c r="C44" s="43" t="s">
        <v>247</v>
      </c>
      <c r="D44" s="43" t="s">
        <v>200</v>
      </c>
      <c r="E44" s="44" t="s">
        <v>200</v>
      </c>
      <c r="F44" s="43"/>
      <c r="G44" s="44" t="s">
        <v>200</v>
      </c>
      <c r="H44" s="43" t="s">
        <v>200</v>
      </c>
      <c r="I44" s="43" t="s">
        <v>200</v>
      </c>
      <c r="J44" s="44" t="s">
        <v>200</v>
      </c>
    </row>
    <row r="45" customFormat="false" ht="17.9" hidden="false" customHeight="false" outlineLevel="0" collapsed="false">
      <c r="A45" s="20" t="n">
        <v>2</v>
      </c>
      <c r="B45" s="42" t="s">
        <v>246</v>
      </c>
      <c r="C45" s="43" t="s">
        <v>248</v>
      </c>
      <c r="D45" s="43" t="s">
        <v>205</v>
      </c>
      <c r="E45" s="25" t="s">
        <v>200</v>
      </c>
      <c r="F45" s="25" t="s">
        <v>200</v>
      </c>
      <c r="G45" s="25" t="s">
        <v>200</v>
      </c>
      <c r="H45" s="25"/>
      <c r="I45" s="25" t="s">
        <v>200</v>
      </c>
      <c r="J45" s="25" t="s">
        <v>200</v>
      </c>
    </row>
    <row r="46" customFormat="false" ht="17.9" hidden="false" customHeight="false" outlineLevel="0" collapsed="false">
      <c r="A46" s="20" t="n">
        <v>3</v>
      </c>
      <c r="B46" s="42" t="s">
        <v>246</v>
      </c>
      <c r="C46" s="43" t="s">
        <v>249</v>
      </c>
      <c r="D46" s="43" t="s">
        <v>200</v>
      </c>
      <c r="E46" s="44" t="s">
        <v>200</v>
      </c>
      <c r="F46" s="43"/>
      <c r="G46" s="43"/>
      <c r="H46" s="43" t="s">
        <v>200</v>
      </c>
      <c r="I46" s="43" t="s">
        <v>200</v>
      </c>
      <c r="J46" s="43"/>
    </row>
    <row r="47" customFormat="false" ht="15.75" hidden="false" customHeight="false" outlineLevel="0" collapsed="false">
      <c r="A47" s="20" t="n">
        <v>4</v>
      </c>
      <c r="B47" s="42" t="s">
        <v>246</v>
      </c>
      <c r="C47" s="43" t="s">
        <v>250</v>
      </c>
      <c r="D47" s="43" t="s">
        <v>200</v>
      </c>
      <c r="E47" s="43" t="s">
        <v>205</v>
      </c>
      <c r="F47" s="43"/>
      <c r="G47" s="43"/>
      <c r="H47" s="43" t="s">
        <v>205</v>
      </c>
      <c r="I47" s="43"/>
      <c r="J47" s="43" t="s">
        <v>205</v>
      </c>
    </row>
    <row r="48" customFormat="false" ht="17.9" hidden="false" customHeight="false" outlineLevel="0" collapsed="false">
      <c r="A48" s="20" t="n">
        <v>5</v>
      </c>
      <c r="B48" s="42" t="s">
        <v>246</v>
      </c>
      <c r="C48" s="43" t="s">
        <v>251</v>
      </c>
      <c r="D48" s="45" t="s">
        <v>200</v>
      </c>
      <c r="E48" s="43" t="s">
        <v>205</v>
      </c>
      <c r="F48" s="43" t="s">
        <v>200</v>
      </c>
      <c r="G48" s="43" t="s">
        <v>200</v>
      </c>
      <c r="H48" s="43" t="s">
        <v>200</v>
      </c>
      <c r="I48" s="43" t="s">
        <v>200</v>
      </c>
      <c r="J48" s="46" t="s">
        <v>200</v>
      </c>
    </row>
    <row r="49" s="19" customFormat="true" ht="17.9" hidden="false" customHeight="false" outlineLevel="0" collapsed="false">
      <c r="A49" s="20" t="n">
        <v>6</v>
      </c>
      <c r="B49" s="42" t="s">
        <v>246</v>
      </c>
      <c r="C49" s="43" t="s">
        <v>252</v>
      </c>
      <c r="D49" s="45" t="s">
        <v>200</v>
      </c>
      <c r="E49" s="44" t="s">
        <v>200</v>
      </c>
      <c r="F49" s="43"/>
      <c r="G49" s="43" t="s">
        <v>205</v>
      </c>
      <c r="H49" s="45" t="s">
        <v>200</v>
      </c>
      <c r="I49" s="44" t="s">
        <v>200</v>
      </c>
      <c r="J49" s="46"/>
    </row>
    <row r="50" customFormat="false" ht="15.75" hidden="false" customHeight="false" outlineLevel="0" collapsed="false">
      <c r="A50" s="20" t="n">
        <v>1</v>
      </c>
      <c r="B50" s="23" t="s">
        <v>253</v>
      </c>
      <c r="C50" s="24" t="s">
        <v>254</v>
      </c>
      <c r="D50" s="24" t="s">
        <v>200</v>
      </c>
      <c r="E50" s="24" t="s">
        <v>205</v>
      </c>
      <c r="F50" s="24"/>
      <c r="G50" s="35"/>
      <c r="H50" s="24" t="s">
        <v>200</v>
      </c>
      <c r="I50" s="24" t="s">
        <v>200</v>
      </c>
      <c r="J50" s="24"/>
    </row>
    <row r="51" customFormat="false" ht="15.75" hidden="false" customHeight="false" outlineLevel="0" collapsed="false">
      <c r="A51" s="20" t="n">
        <v>2</v>
      </c>
      <c r="B51" s="23" t="s">
        <v>253</v>
      </c>
      <c r="C51" s="24" t="s">
        <v>255</v>
      </c>
      <c r="D51" s="24" t="s">
        <v>200</v>
      </c>
      <c r="E51" s="24"/>
      <c r="F51" s="24" t="s">
        <v>200</v>
      </c>
      <c r="G51" s="24" t="s">
        <v>205</v>
      </c>
      <c r="H51" s="24" t="s">
        <v>200</v>
      </c>
      <c r="I51" s="24"/>
      <c r="J51" s="29" t="s">
        <v>200</v>
      </c>
    </row>
    <row r="52" customFormat="false" ht="17.9" hidden="false" customHeight="false" outlineLevel="0" collapsed="false">
      <c r="A52" s="20" t="n">
        <v>3</v>
      </c>
      <c r="B52" s="23" t="s">
        <v>253</v>
      </c>
      <c r="C52" s="47" t="s">
        <v>256</v>
      </c>
      <c r="D52" s="47" t="s">
        <v>200</v>
      </c>
      <c r="E52" s="47"/>
      <c r="F52" s="47"/>
      <c r="G52" s="48" t="s">
        <v>200</v>
      </c>
      <c r="H52" s="47" t="s">
        <v>205</v>
      </c>
      <c r="I52" s="47" t="s">
        <v>205</v>
      </c>
      <c r="J52" s="47"/>
    </row>
    <row r="53" customFormat="false" ht="15.75" hidden="false" customHeight="false" outlineLevel="0" collapsed="false">
      <c r="A53" s="20" t="n">
        <v>4</v>
      </c>
      <c r="B53" s="23" t="s">
        <v>253</v>
      </c>
      <c r="C53" s="20" t="s">
        <v>257</v>
      </c>
      <c r="D53" s="20" t="s">
        <v>200</v>
      </c>
      <c r="E53" s="20" t="s">
        <v>200</v>
      </c>
      <c r="F53" s="20"/>
      <c r="G53" s="20"/>
      <c r="H53" s="20" t="s">
        <v>200</v>
      </c>
      <c r="I53" s="20" t="s">
        <v>200</v>
      </c>
      <c r="J53" s="22"/>
    </row>
    <row r="54" customFormat="false" ht="15.75" hidden="false" customHeight="false" outlineLevel="0" collapsed="false">
      <c r="A54" s="20" t="n">
        <v>5</v>
      </c>
      <c r="B54" s="23" t="s">
        <v>253</v>
      </c>
      <c r="C54" s="20" t="s">
        <v>258</v>
      </c>
      <c r="D54" s="20"/>
      <c r="E54" s="20"/>
      <c r="F54" s="20"/>
      <c r="G54" s="33"/>
      <c r="H54" s="20"/>
      <c r="I54" s="20" t="s">
        <v>200</v>
      </c>
      <c r="J54" s="20"/>
    </row>
    <row r="55" customFormat="false" ht="15.75" hidden="false" customHeight="false" outlineLevel="0" collapsed="false">
      <c r="A55" s="20" t="n">
        <v>6</v>
      </c>
      <c r="B55" s="23" t="s">
        <v>253</v>
      </c>
      <c r="C55" s="20" t="s">
        <v>259</v>
      </c>
      <c r="E55" s="20"/>
      <c r="F55" s="20"/>
      <c r="H55" s="10" t="s">
        <v>200</v>
      </c>
      <c r="I55" s="10" t="s">
        <v>200</v>
      </c>
      <c r="J55" s="22"/>
    </row>
    <row r="56" customFormat="false" ht="15.75" hidden="false" customHeight="false" outlineLevel="0" collapsed="false">
      <c r="A56" s="20" t="n">
        <v>7</v>
      </c>
      <c r="B56" s="23" t="s">
        <v>253</v>
      </c>
      <c r="C56" s="20" t="s">
        <v>260</v>
      </c>
      <c r="D56" s="20"/>
      <c r="E56" s="20" t="s">
        <v>200</v>
      </c>
      <c r="F56" s="14"/>
      <c r="G56" s="20"/>
      <c r="H56" s="20" t="s">
        <v>200</v>
      </c>
      <c r="I56" s="20" t="s">
        <v>200</v>
      </c>
      <c r="J56" s="22"/>
    </row>
    <row r="57" customFormat="false" ht="33" hidden="false" customHeight="true" outlineLevel="0" collapsed="false">
      <c r="A57" s="20" t="n">
        <v>8</v>
      </c>
      <c r="B57" s="23" t="s">
        <v>253</v>
      </c>
      <c r="C57" s="24" t="s">
        <v>261</v>
      </c>
      <c r="D57" s="24" t="s">
        <v>200</v>
      </c>
      <c r="E57" s="25" t="s">
        <v>205</v>
      </c>
      <c r="F57" s="24"/>
      <c r="G57" s="25" t="s">
        <v>205</v>
      </c>
      <c r="H57" s="24" t="s">
        <v>200</v>
      </c>
      <c r="I57" s="24" t="s">
        <v>200</v>
      </c>
      <c r="J57" s="25" t="s">
        <v>205</v>
      </c>
    </row>
    <row r="58" customFormat="false" ht="15.75" hidden="false" customHeight="false" outlineLevel="0" collapsed="false">
      <c r="A58" s="20" t="n">
        <v>9</v>
      </c>
      <c r="B58" s="23" t="s">
        <v>253</v>
      </c>
      <c r="C58" s="20" t="s">
        <v>262</v>
      </c>
      <c r="D58" s="20"/>
      <c r="E58" s="20"/>
      <c r="F58" s="20"/>
      <c r="G58" s="20"/>
      <c r="H58" s="20"/>
      <c r="I58" s="20" t="s">
        <v>200</v>
      </c>
      <c r="J58" s="22"/>
    </row>
    <row r="59" customFormat="false" ht="17.9" hidden="false" customHeight="false" outlineLevel="0" collapsed="false">
      <c r="A59" s="20" t="n">
        <v>10</v>
      </c>
      <c r="B59" s="49" t="s">
        <v>253</v>
      </c>
      <c r="C59" s="24" t="s">
        <v>263</v>
      </c>
      <c r="D59" s="24" t="s">
        <v>218</v>
      </c>
      <c r="E59" s="25" t="s">
        <v>205</v>
      </c>
      <c r="F59" s="24"/>
      <c r="G59" s="24" t="s">
        <v>205</v>
      </c>
      <c r="H59" s="24" t="s">
        <v>200</v>
      </c>
      <c r="I59" s="24" t="s">
        <v>200</v>
      </c>
      <c r="J59" s="25" t="s">
        <v>200</v>
      </c>
    </row>
    <row r="60" customFormat="false" ht="17.9" hidden="false" customHeight="false" outlineLevel="0" collapsed="false">
      <c r="A60" s="20" t="n">
        <v>1</v>
      </c>
      <c r="B60" s="50" t="s">
        <v>139</v>
      </c>
      <c r="C60" s="20" t="s">
        <v>264</v>
      </c>
      <c r="D60" s="20" t="s">
        <v>200</v>
      </c>
      <c r="E60" s="20"/>
      <c r="F60" s="20"/>
      <c r="G60" s="14" t="s">
        <v>200</v>
      </c>
      <c r="H60" s="20" t="s">
        <v>200</v>
      </c>
      <c r="I60" s="20"/>
      <c r="J60" s="14" t="s">
        <v>200</v>
      </c>
    </row>
    <row r="61" customFormat="false" ht="17.9" hidden="false" customHeight="false" outlineLevel="0" collapsed="false">
      <c r="A61" s="20" t="n">
        <v>2</v>
      </c>
      <c r="B61" s="50" t="s">
        <v>139</v>
      </c>
      <c r="C61" s="20" t="s">
        <v>265</v>
      </c>
      <c r="D61" s="14" t="s">
        <v>200</v>
      </c>
      <c r="E61" s="14" t="s">
        <v>200</v>
      </c>
      <c r="F61" s="14"/>
      <c r="G61" s="14" t="s">
        <v>200</v>
      </c>
      <c r="H61" s="14" t="s">
        <v>200</v>
      </c>
      <c r="I61" s="14" t="s">
        <v>200</v>
      </c>
      <c r="J61" s="27" t="s">
        <v>200</v>
      </c>
    </row>
    <row r="62" customFormat="false" ht="15.75" hidden="false" customHeight="false" outlineLevel="0" collapsed="false">
      <c r="A62" s="20" t="n">
        <v>3</v>
      </c>
      <c r="B62" s="50" t="s">
        <v>139</v>
      </c>
      <c r="C62" s="20" t="s">
        <v>266</v>
      </c>
      <c r="D62" s="20"/>
      <c r="E62" s="20"/>
      <c r="F62" s="20"/>
      <c r="G62" s="20" t="s">
        <v>200</v>
      </c>
      <c r="H62" s="20" t="s">
        <v>200</v>
      </c>
      <c r="I62" s="20" t="s">
        <v>200</v>
      </c>
      <c r="J62" s="20"/>
    </row>
    <row r="63" customFormat="false" ht="17.9" hidden="false" customHeight="false" outlineLevel="0" collapsed="false">
      <c r="A63" s="20" t="n">
        <v>4</v>
      </c>
      <c r="B63" s="50" t="s">
        <v>139</v>
      </c>
      <c r="C63" s="20" t="s">
        <v>267</v>
      </c>
      <c r="D63" s="20"/>
      <c r="E63" s="20" t="s">
        <v>200</v>
      </c>
      <c r="F63" s="20" t="s">
        <v>200</v>
      </c>
      <c r="G63" s="20"/>
      <c r="H63" s="20" t="s">
        <v>200</v>
      </c>
      <c r="I63" s="20" t="s">
        <v>200</v>
      </c>
      <c r="J63" s="14" t="s">
        <v>200</v>
      </c>
    </row>
    <row r="64" customFormat="false" ht="17.9" hidden="false" customHeight="false" outlineLevel="0" collapsed="false">
      <c r="A64" s="14" t="n">
        <v>5</v>
      </c>
      <c r="B64" s="50" t="s">
        <v>139</v>
      </c>
      <c r="C64" s="14" t="s">
        <v>268</v>
      </c>
      <c r="D64" s="14" t="s">
        <v>200</v>
      </c>
      <c r="E64" s="14" t="s">
        <v>200</v>
      </c>
      <c r="F64" s="14" t="s">
        <v>200</v>
      </c>
      <c r="G64" s="14"/>
      <c r="H64" s="14" t="s">
        <v>200</v>
      </c>
      <c r="I64" s="14" t="s">
        <v>200</v>
      </c>
      <c r="J64" s="27" t="s">
        <v>200</v>
      </c>
    </row>
    <row r="65" customFormat="false" ht="17.9" hidden="false" customHeight="false" outlineLevel="0" collapsed="false">
      <c r="A65" s="20" t="n">
        <v>6</v>
      </c>
      <c r="B65" s="50" t="s">
        <v>139</v>
      </c>
      <c r="C65" s="20" t="s">
        <v>269</v>
      </c>
      <c r="D65" s="14" t="s">
        <v>200</v>
      </c>
      <c r="E65" s="20" t="s">
        <v>200</v>
      </c>
      <c r="F65" s="20"/>
      <c r="G65" s="14" t="s">
        <v>200</v>
      </c>
      <c r="H65" s="14" t="s">
        <v>200</v>
      </c>
      <c r="I65" s="14" t="s">
        <v>200</v>
      </c>
      <c r="J65" s="22"/>
    </row>
    <row r="66" customFormat="false" ht="17.9" hidden="false" customHeight="false" outlineLevel="0" collapsed="false">
      <c r="A66" s="20" t="n">
        <v>7</v>
      </c>
      <c r="B66" s="50" t="s">
        <v>139</v>
      </c>
      <c r="C66" s="20" t="s">
        <v>270</v>
      </c>
      <c r="D66" s="14" t="s">
        <v>200</v>
      </c>
      <c r="E66" s="14"/>
      <c r="F66" s="14"/>
      <c r="G66" s="14"/>
      <c r="H66" s="14" t="s">
        <v>200</v>
      </c>
      <c r="I66" s="14" t="s">
        <v>200</v>
      </c>
      <c r="J66" s="14" t="s">
        <v>200</v>
      </c>
    </row>
    <row r="67" customFormat="false" ht="17.9" hidden="false" customHeight="false" outlineLevel="0" collapsed="false">
      <c r="A67" s="20" t="n">
        <v>8</v>
      </c>
      <c r="B67" s="50" t="s">
        <v>139</v>
      </c>
      <c r="C67" s="24" t="s">
        <v>271</v>
      </c>
      <c r="D67" s="25" t="s">
        <v>200</v>
      </c>
      <c r="E67" s="25" t="s">
        <v>200</v>
      </c>
      <c r="F67" s="24" t="s">
        <v>200</v>
      </c>
      <c r="G67" s="25" t="s">
        <v>200</v>
      </c>
      <c r="H67" s="25" t="s">
        <v>200</v>
      </c>
      <c r="I67" s="25" t="s">
        <v>200</v>
      </c>
      <c r="J67" s="25" t="s">
        <v>200</v>
      </c>
    </row>
    <row r="68" customFormat="false" ht="15.75" hidden="false" customHeight="true" outlineLevel="0" collapsed="false">
      <c r="A68" s="20" t="n">
        <v>9</v>
      </c>
      <c r="B68" s="50" t="s">
        <v>139</v>
      </c>
      <c r="C68" s="20" t="s">
        <v>272</v>
      </c>
      <c r="D68" s="14" t="s">
        <v>200</v>
      </c>
      <c r="E68" s="14"/>
      <c r="F68" s="14" t="s">
        <v>200</v>
      </c>
      <c r="G68" s="14" t="s">
        <v>200</v>
      </c>
      <c r="H68" s="14" t="s">
        <v>200</v>
      </c>
      <c r="I68" s="14" t="s">
        <v>200</v>
      </c>
      <c r="J68" s="27" t="s">
        <v>200</v>
      </c>
    </row>
    <row r="69" customFormat="false" ht="37.5" hidden="false" customHeight="true" outlineLevel="0" collapsed="false">
      <c r="A69" s="20" t="n">
        <v>10</v>
      </c>
      <c r="B69" s="50" t="s">
        <v>139</v>
      </c>
      <c r="C69" s="20" t="s">
        <v>273</v>
      </c>
      <c r="D69" s="14"/>
      <c r="E69" s="14" t="s">
        <v>200</v>
      </c>
      <c r="F69" s="14"/>
      <c r="G69" s="14"/>
      <c r="H69" s="14" t="s">
        <v>200</v>
      </c>
      <c r="I69" s="14" t="s">
        <v>200</v>
      </c>
      <c r="J69" s="14" t="s">
        <v>205</v>
      </c>
    </row>
    <row r="70" customFormat="false" ht="17.9" hidden="false" customHeight="false" outlineLevel="0" collapsed="false">
      <c r="A70" s="20" t="n">
        <v>11</v>
      </c>
      <c r="B70" s="50" t="s">
        <v>139</v>
      </c>
      <c r="C70" s="20" t="s">
        <v>274</v>
      </c>
      <c r="D70" s="14" t="s">
        <v>200</v>
      </c>
      <c r="E70" s="14" t="s">
        <v>200</v>
      </c>
      <c r="F70" s="14" t="s">
        <v>200</v>
      </c>
      <c r="G70" s="14"/>
      <c r="H70" s="14" t="s">
        <v>200</v>
      </c>
      <c r="I70" s="14" t="s">
        <v>200</v>
      </c>
      <c r="J70" s="27" t="s">
        <v>200</v>
      </c>
    </row>
    <row r="71" customFormat="false" ht="17.9" hidden="false" customHeight="false" outlineLevel="0" collapsed="false">
      <c r="A71" s="20" t="n">
        <v>12</v>
      </c>
      <c r="B71" s="50" t="s">
        <v>139</v>
      </c>
      <c r="C71" s="20" t="s">
        <v>275</v>
      </c>
      <c r="D71" s="14" t="s">
        <v>200</v>
      </c>
      <c r="E71" s="14" t="s">
        <v>200</v>
      </c>
      <c r="F71" s="14"/>
      <c r="G71" s="14"/>
      <c r="H71" s="14" t="s">
        <v>200</v>
      </c>
      <c r="I71" s="14" t="s">
        <v>200</v>
      </c>
      <c r="J71" s="27" t="s">
        <v>200</v>
      </c>
    </row>
    <row r="72" customFormat="false" ht="17.9" hidden="false" customHeight="false" outlineLevel="0" collapsed="false">
      <c r="A72" s="20"/>
      <c r="B72" s="21" t="s">
        <v>164</v>
      </c>
      <c r="C72" s="20" t="s">
        <v>164</v>
      </c>
      <c r="D72" s="20" t="s">
        <v>200</v>
      </c>
      <c r="E72" s="20" t="s">
        <v>200</v>
      </c>
      <c r="F72" s="14" t="s">
        <v>200</v>
      </c>
      <c r="G72" s="20"/>
      <c r="H72" s="20" t="s">
        <v>200</v>
      </c>
      <c r="I72" s="20" t="s">
        <v>200</v>
      </c>
      <c r="J72" s="22"/>
    </row>
    <row r="73" customFormat="false" ht="17.9" hidden="false" customHeight="false" outlineLevel="0" collapsed="false">
      <c r="A73" s="20"/>
      <c r="B73" s="21" t="s">
        <v>167</v>
      </c>
      <c r="C73" s="24" t="s">
        <v>167</v>
      </c>
      <c r="D73" s="24" t="s">
        <v>200</v>
      </c>
      <c r="E73" s="25" t="s">
        <v>205</v>
      </c>
      <c r="F73" s="25" t="s">
        <v>200</v>
      </c>
      <c r="G73" s="24" t="s">
        <v>276</v>
      </c>
      <c r="H73" s="24" t="s">
        <v>200</v>
      </c>
      <c r="I73" s="24" t="s">
        <v>200</v>
      </c>
      <c r="J73" s="29" t="s">
        <v>200</v>
      </c>
    </row>
    <row r="74" customFormat="false" ht="15.75" hidden="false" customHeight="false" outlineLevel="0" collapsed="false">
      <c r="A74" s="20" t="n">
        <v>1</v>
      </c>
      <c r="B74" s="51" t="s">
        <v>170</v>
      </c>
      <c r="C74" s="24" t="s">
        <v>277</v>
      </c>
      <c r="D74" s="24" t="s">
        <v>200</v>
      </c>
      <c r="E74" s="24" t="s">
        <v>200</v>
      </c>
      <c r="F74" s="24"/>
      <c r="G74" s="24" t="s">
        <v>200</v>
      </c>
      <c r="H74" s="24" t="s">
        <v>200</v>
      </c>
      <c r="I74" s="24" t="s">
        <v>200</v>
      </c>
      <c r="J74" s="29" t="s">
        <v>200</v>
      </c>
    </row>
    <row r="75" customFormat="false" ht="15.75" hidden="false" customHeight="false" outlineLevel="0" collapsed="false">
      <c r="A75" s="20" t="n">
        <v>2</v>
      </c>
      <c r="B75" s="51" t="s">
        <v>170</v>
      </c>
      <c r="C75" s="24" t="s">
        <v>278</v>
      </c>
      <c r="D75" s="24" t="s">
        <v>218</v>
      </c>
      <c r="E75" s="24" t="s">
        <v>200</v>
      </c>
      <c r="F75" s="24" t="s">
        <v>200</v>
      </c>
      <c r="G75" s="24"/>
      <c r="H75" s="24" t="s">
        <v>200</v>
      </c>
      <c r="I75" s="24" t="s">
        <v>200</v>
      </c>
      <c r="J75" s="24" t="s">
        <v>200</v>
      </c>
    </row>
    <row r="76" customFormat="false" ht="15.75" hidden="false" customHeight="false" outlineLevel="0" collapsed="false">
      <c r="A76" s="20" t="n">
        <v>3</v>
      </c>
      <c r="B76" s="51" t="s">
        <v>170</v>
      </c>
      <c r="C76" s="24" t="s">
        <v>279</v>
      </c>
      <c r="D76" s="24" t="s">
        <v>200</v>
      </c>
      <c r="E76" s="24" t="s">
        <v>200</v>
      </c>
      <c r="F76" s="24"/>
      <c r="G76" s="24"/>
      <c r="H76" s="24" t="s">
        <v>200</v>
      </c>
      <c r="I76" s="24" t="s">
        <v>200</v>
      </c>
      <c r="J76" s="24"/>
    </row>
    <row r="77" customFormat="false" ht="15.75" hidden="false" customHeight="false" outlineLevel="0" collapsed="false">
      <c r="A77" s="20" t="n">
        <v>4</v>
      </c>
      <c r="B77" s="51" t="s">
        <v>170</v>
      </c>
      <c r="C77" s="24" t="s">
        <v>280</v>
      </c>
      <c r="D77" s="24" t="s">
        <v>200</v>
      </c>
      <c r="E77" s="24" t="s">
        <v>200</v>
      </c>
      <c r="F77" s="25"/>
      <c r="G77" s="24" t="s">
        <v>281</v>
      </c>
      <c r="H77" s="24" t="s">
        <v>200</v>
      </c>
      <c r="I77" s="24" t="s">
        <v>200</v>
      </c>
      <c r="J77" s="29"/>
    </row>
    <row r="78" customFormat="false" ht="17.9" hidden="false" customHeight="false" outlineLevel="0" collapsed="false">
      <c r="A78" s="20" t="n">
        <v>5</v>
      </c>
      <c r="B78" s="51" t="s">
        <v>170</v>
      </c>
      <c r="C78" s="24" t="s">
        <v>282</v>
      </c>
      <c r="D78" s="24" t="s">
        <v>200</v>
      </c>
      <c r="E78" s="24" t="s">
        <v>200</v>
      </c>
      <c r="F78" s="24"/>
      <c r="G78" s="24"/>
      <c r="H78" s="24" t="s">
        <v>200</v>
      </c>
      <c r="I78" s="24" t="s">
        <v>200</v>
      </c>
      <c r="J78" s="52" t="s">
        <v>200</v>
      </c>
    </row>
    <row r="79" customFormat="false" ht="17.9" hidden="false" customHeight="false" outlineLevel="0" collapsed="false">
      <c r="A79" s="20" t="n">
        <v>6</v>
      </c>
      <c r="B79" s="51" t="s">
        <v>170</v>
      </c>
      <c r="C79" s="43" t="s">
        <v>283</v>
      </c>
      <c r="D79" s="53" t="s">
        <v>200</v>
      </c>
      <c r="E79" s="43" t="s">
        <v>200</v>
      </c>
      <c r="F79" s="43"/>
      <c r="G79" s="43"/>
      <c r="H79" s="53" t="s">
        <v>200</v>
      </c>
      <c r="I79" s="44" t="s">
        <v>200</v>
      </c>
      <c r="J79" s="46"/>
    </row>
    <row r="80" customFormat="false" ht="15.75" hidden="false" customHeight="false" outlineLevel="0" collapsed="false">
      <c r="A80" s="20" t="n">
        <v>1</v>
      </c>
      <c r="B80" s="54" t="s">
        <v>183</v>
      </c>
      <c r="C80" s="20" t="s">
        <v>284</v>
      </c>
      <c r="D80" s="20" t="s">
        <v>218</v>
      </c>
      <c r="E80" s="20"/>
      <c r="F80" s="20" t="s">
        <v>218</v>
      </c>
      <c r="G80" s="20" t="s">
        <v>218</v>
      </c>
      <c r="H80" s="20" t="s">
        <v>200</v>
      </c>
      <c r="I80" s="20" t="s">
        <v>218</v>
      </c>
      <c r="J80" s="22"/>
    </row>
    <row r="81" customFormat="false" ht="15.75" hidden="false" customHeight="false" outlineLevel="0" collapsed="false">
      <c r="A81" s="20" t="n">
        <v>2</v>
      </c>
      <c r="B81" s="54" t="s">
        <v>183</v>
      </c>
      <c r="C81" s="24" t="s">
        <v>285</v>
      </c>
      <c r="D81" s="24" t="s">
        <v>218</v>
      </c>
      <c r="E81" s="24" t="s">
        <v>205</v>
      </c>
      <c r="F81" s="24"/>
      <c r="G81" s="24"/>
      <c r="H81" s="24" t="s">
        <v>218</v>
      </c>
      <c r="I81" s="24" t="s">
        <v>200</v>
      </c>
      <c r="J81" s="29" t="s">
        <v>200</v>
      </c>
    </row>
    <row r="82" customFormat="false" ht="31.5" hidden="false" customHeight="true" outlineLevel="0" collapsed="false">
      <c r="A82" s="20" t="n">
        <v>3</v>
      </c>
      <c r="B82" s="54" t="s">
        <v>183</v>
      </c>
      <c r="C82" s="24" t="s">
        <v>286</v>
      </c>
      <c r="D82" s="55" t="s">
        <v>218</v>
      </c>
      <c r="E82" s="55" t="s">
        <v>200</v>
      </c>
      <c r="F82" s="55"/>
      <c r="G82" s="25" t="s">
        <v>205</v>
      </c>
      <c r="H82" s="55" t="s">
        <v>200</v>
      </c>
      <c r="I82" s="55" t="s">
        <v>200</v>
      </c>
      <c r="J82" s="55" t="s">
        <v>200</v>
      </c>
    </row>
    <row r="83" customFormat="false" ht="15.75" hidden="false" customHeight="false" outlineLevel="0" collapsed="false">
      <c r="A83" s="20" t="n">
        <v>4</v>
      </c>
      <c r="B83" s="54" t="s">
        <v>183</v>
      </c>
      <c r="C83" s="20" t="s">
        <v>287</v>
      </c>
      <c r="D83" s="20" t="s">
        <v>200</v>
      </c>
      <c r="E83" s="20" t="s">
        <v>200</v>
      </c>
      <c r="F83" s="20"/>
      <c r="G83" s="20"/>
      <c r="H83" s="20"/>
      <c r="I83" s="20"/>
      <c r="J83" s="22"/>
    </row>
  </sheetData>
  <mergeCells count="1">
    <mergeCell ref="D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66" colorId="64" zoomScale="172" zoomScaleNormal="172" zoomScalePageLayoutView="100" workbookViewId="0">
      <selection pane="topLeft" activeCell="E72" activeCellId="0" sqref="E7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11.83"/>
    <col collapsed="false" customWidth="true" hidden="false" outlineLevel="0" max="3" min="3" style="1" width="7"/>
    <col collapsed="false" customWidth="true" hidden="false" outlineLevel="0" max="6" min="4" style="1" width="6.66"/>
  </cols>
  <sheetData>
    <row r="1" s="57" customFormat="true" ht="15.75" hidden="false" customHeight="false" outlineLevel="0" collapsed="false">
      <c r="A1" s="56" t="s">
        <v>288</v>
      </c>
      <c r="B1" s="56"/>
      <c r="C1" s="56"/>
      <c r="D1" s="56"/>
      <c r="E1" s="56"/>
    </row>
    <row r="2" s="60" customFormat="true" ht="28.5" hidden="false" customHeight="true" outlineLevel="0" collapsed="false">
      <c r="A2" s="58" t="s">
        <v>289</v>
      </c>
      <c r="B2" s="58" t="s">
        <v>192</v>
      </c>
      <c r="C2" s="59" t="s">
        <v>290</v>
      </c>
      <c r="D2" s="59" t="s">
        <v>291</v>
      </c>
      <c r="E2" s="59" t="s">
        <v>292</v>
      </c>
      <c r="F2" s="59" t="s">
        <v>293</v>
      </c>
    </row>
    <row r="3" s="62" customFormat="true" ht="15.75" hidden="false" customHeight="false" outlineLevel="0" collapsed="false">
      <c r="A3" s="61" t="n">
        <v>1</v>
      </c>
      <c r="B3" s="61" t="s">
        <v>251</v>
      </c>
      <c r="C3" s="61" t="n">
        <v>5</v>
      </c>
      <c r="D3" s="61" t="n">
        <v>20</v>
      </c>
      <c r="E3" s="61" t="n">
        <v>1</v>
      </c>
      <c r="F3" s="61"/>
    </row>
    <row r="4" s="62" customFormat="true" ht="15.75" hidden="false" customHeight="false" outlineLevel="0" collapsed="false">
      <c r="A4" s="63" t="n">
        <v>2</v>
      </c>
      <c r="B4" s="63" t="s">
        <v>167</v>
      </c>
      <c r="C4" s="63" t="n">
        <v>6</v>
      </c>
      <c r="D4" s="63" t="n">
        <v>13</v>
      </c>
      <c r="E4" s="63" t="n">
        <f aca="false">E3+1</f>
        <v>2</v>
      </c>
      <c r="F4" s="63"/>
    </row>
    <row r="5" s="62" customFormat="true" ht="15.75" hidden="false" customHeight="false" outlineLevel="0" collapsed="false">
      <c r="A5" s="63" t="n">
        <v>3</v>
      </c>
      <c r="B5" s="63" t="s">
        <v>283</v>
      </c>
      <c r="C5" s="63" t="n">
        <v>7</v>
      </c>
      <c r="D5" s="63" t="n">
        <v>15</v>
      </c>
      <c r="E5" s="63" t="n">
        <f aca="false">E4+1</f>
        <v>3</v>
      </c>
      <c r="F5" s="63"/>
    </row>
    <row r="6" s="65" customFormat="true" ht="15.75" hidden="false" customHeight="false" outlineLevel="0" collapsed="false">
      <c r="A6" s="64" t="n">
        <f aca="false">A5+1</f>
        <v>4</v>
      </c>
      <c r="B6" s="64" t="s">
        <v>164</v>
      </c>
      <c r="C6" s="64" t="n">
        <v>1</v>
      </c>
      <c r="D6" s="64" t="n">
        <v>1</v>
      </c>
      <c r="E6" s="64" t="n">
        <f aca="false">E5+1</f>
        <v>4</v>
      </c>
      <c r="F6" s="64"/>
    </row>
    <row r="7" s="62" customFormat="true" ht="15.75" hidden="false" customHeight="false" outlineLevel="0" collapsed="false">
      <c r="A7" s="66" t="n">
        <f aca="false">A6+1</f>
        <v>5</v>
      </c>
      <c r="B7" s="66" t="s">
        <v>286</v>
      </c>
      <c r="C7" s="66" t="n">
        <v>13</v>
      </c>
      <c r="D7" s="66" t="n">
        <v>16</v>
      </c>
      <c r="E7" s="66" t="n">
        <f aca="false">E6+1</f>
        <v>5</v>
      </c>
      <c r="F7" s="66"/>
    </row>
    <row r="8" s="62" customFormat="true" ht="15.75" hidden="false" customHeight="false" outlineLevel="0" collapsed="false">
      <c r="A8" s="66" t="n">
        <f aca="false">A7+1</f>
        <v>6</v>
      </c>
      <c r="B8" s="66" t="s">
        <v>284</v>
      </c>
      <c r="C8" s="66" t="n">
        <v>14</v>
      </c>
      <c r="D8" s="66" t="n">
        <v>17</v>
      </c>
      <c r="E8" s="66" t="n">
        <f aca="false">E7+1</f>
        <v>6</v>
      </c>
      <c r="F8" s="66"/>
    </row>
    <row r="9" s="62" customFormat="true" ht="15.75" hidden="false" customHeight="false" outlineLevel="0" collapsed="false">
      <c r="A9" s="66" t="n">
        <f aca="false">A8+1</f>
        <v>7</v>
      </c>
      <c r="B9" s="66" t="s">
        <v>217</v>
      </c>
      <c r="C9" s="66" t="n">
        <v>15</v>
      </c>
      <c r="D9" s="66" t="n">
        <v>19</v>
      </c>
      <c r="E9" s="66" t="n">
        <f aca="false">E8+1</f>
        <v>7</v>
      </c>
      <c r="F9" s="66"/>
    </row>
    <row r="10" s="62" customFormat="true" ht="15.75" hidden="false" customHeight="false" outlineLevel="0" collapsed="false">
      <c r="A10" s="66" t="n">
        <f aca="false">A9+1</f>
        <v>8</v>
      </c>
      <c r="B10" s="66" t="s">
        <v>237</v>
      </c>
      <c r="C10" s="66" t="n">
        <v>20</v>
      </c>
      <c r="D10" s="66" t="n">
        <v>5</v>
      </c>
      <c r="E10" s="66" t="n">
        <f aca="false">E9+1</f>
        <v>8</v>
      </c>
      <c r="F10" s="66"/>
    </row>
    <row r="11" s="62" customFormat="true" ht="15.75" hidden="false" customHeight="false" outlineLevel="0" collapsed="false">
      <c r="A11" s="61" t="n">
        <f aca="false">A10+1</f>
        <v>9</v>
      </c>
      <c r="B11" s="61" t="s">
        <v>247</v>
      </c>
      <c r="C11" s="61" t="n">
        <v>18</v>
      </c>
      <c r="D11" s="61" t="n">
        <v>39</v>
      </c>
      <c r="E11" s="61" t="n">
        <f aca="false">E10+1</f>
        <v>9</v>
      </c>
      <c r="F11" s="61"/>
    </row>
    <row r="12" s="62" customFormat="true" ht="15.75" hidden="false" customHeight="false" outlineLevel="0" collapsed="false">
      <c r="A12" s="63" t="n">
        <v>4</v>
      </c>
      <c r="B12" s="63" t="s">
        <v>277</v>
      </c>
      <c r="C12" s="63" t="n">
        <v>26</v>
      </c>
      <c r="D12" s="63" t="n">
        <v>30</v>
      </c>
      <c r="E12" s="63" t="n">
        <f aca="false">E11+1</f>
        <v>10</v>
      </c>
      <c r="F12" s="63"/>
    </row>
    <row r="13" s="62" customFormat="true" ht="15.75" hidden="false" customHeight="false" outlineLevel="0" collapsed="false">
      <c r="A13" s="66" t="n">
        <f aca="false">A12+1</f>
        <v>5</v>
      </c>
      <c r="B13" s="66" t="s">
        <v>224</v>
      </c>
      <c r="C13" s="66" t="n">
        <v>34</v>
      </c>
      <c r="D13" s="66" t="n">
        <v>23</v>
      </c>
      <c r="E13" s="66" t="n">
        <f aca="false">E12+1</f>
        <v>11</v>
      </c>
      <c r="F13" s="66"/>
    </row>
    <row r="14" s="62" customFormat="true" ht="15.75" hidden="false" customHeight="false" outlineLevel="0" collapsed="false">
      <c r="A14" s="66" t="n">
        <f aca="false">A13+1</f>
        <v>6</v>
      </c>
      <c r="B14" s="66" t="s">
        <v>285</v>
      </c>
      <c r="C14" s="66" t="n">
        <v>24</v>
      </c>
      <c r="D14" s="66" t="n">
        <v>31</v>
      </c>
      <c r="E14" s="66" t="n">
        <f aca="false">E13+1</f>
        <v>12</v>
      </c>
      <c r="F14" s="66"/>
    </row>
    <row r="15" s="62" customFormat="true" ht="15.75" hidden="false" customHeight="false" outlineLevel="0" collapsed="false">
      <c r="A15" s="66" t="n">
        <f aca="false">A14+1</f>
        <v>7</v>
      </c>
      <c r="B15" s="66" t="s">
        <v>234</v>
      </c>
      <c r="C15" s="66" t="n">
        <v>44</v>
      </c>
      <c r="D15" s="66" t="n">
        <v>76</v>
      </c>
      <c r="E15" s="66" t="n">
        <f aca="false">E14+1</f>
        <v>13</v>
      </c>
      <c r="F15" s="66"/>
    </row>
    <row r="16" s="62" customFormat="true" ht="15.75" hidden="false" customHeight="false" outlineLevel="0" collapsed="false">
      <c r="A16" s="63" t="n">
        <v>5</v>
      </c>
      <c r="B16" s="63" t="s">
        <v>203</v>
      </c>
      <c r="C16" s="63" t="n">
        <v>19</v>
      </c>
      <c r="D16" s="63" t="n">
        <v>7</v>
      </c>
      <c r="E16" s="63" t="n">
        <f aca="false">E15+1</f>
        <v>14</v>
      </c>
      <c r="F16" s="63"/>
    </row>
    <row r="17" s="62" customFormat="true" ht="15.75" hidden="false" customHeight="false" outlineLevel="0" collapsed="false">
      <c r="A17" s="63" t="n">
        <v>6</v>
      </c>
      <c r="B17" s="63" t="s">
        <v>248</v>
      </c>
      <c r="C17" s="63" t="n">
        <v>16</v>
      </c>
      <c r="D17" s="63" t="n">
        <v>26</v>
      </c>
      <c r="E17" s="63" t="n">
        <f aca="false">E16+1</f>
        <v>15</v>
      </c>
      <c r="F17" s="63"/>
    </row>
    <row r="18" customFormat="false" ht="15.75" hidden="false" customHeight="false" outlineLevel="0" collapsed="false">
      <c r="A18" s="67" t="n">
        <f aca="false">A17+1</f>
        <v>7</v>
      </c>
      <c r="B18" s="67" t="s">
        <v>12</v>
      </c>
      <c r="C18" s="67" t="n">
        <v>4</v>
      </c>
      <c r="D18" s="67" t="n">
        <v>3</v>
      </c>
      <c r="E18" s="67" t="n">
        <f aca="false">E17+1</f>
        <v>16</v>
      </c>
      <c r="F18" s="67"/>
    </row>
    <row r="19" s="65" customFormat="true" ht="15.75" hidden="false" customHeight="false" outlineLevel="0" collapsed="false">
      <c r="A19" s="68" t="n">
        <v>8</v>
      </c>
      <c r="B19" s="68" t="s">
        <v>287</v>
      </c>
      <c r="C19" s="68" t="n">
        <v>12</v>
      </c>
      <c r="D19" s="68" t="n">
        <v>14</v>
      </c>
      <c r="E19" s="68" t="n">
        <f aca="false">E18+1</f>
        <v>17</v>
      </c>
      <c r="F19" s="68"/>
    </row>
    <row r="20" s="62" customFormat="true" ht="15.75" hidden="false" customHeight="false" outlineLevel="0" collapsed="false">
      <c r="A20" s="61" t="n">
        <v>9</v>
      </c>
      <c r="B20" s="61" t="s">
        <v>250</v>
      </c>
      <c r="C20" s="61" t="n">
        <v>27</v>
      </c>
      <c r="D20" s="61" t="n">
        <v>42</v>
      </c>
      <c r="E20" s="61" t="n">
        <f aca="false">E19+1</f>
        <v>18</v>
      </c>
      <c r="F20" s="61"/>
    </row>
    <row r="21" s="62" customFormat="true" ht="15.75" hidden="false" customHeight="false" outlineLevel="0" collapsed="false">
      <c r="A21" s="66" t="n">
        <f aca="false">A20+1</f>
        <v>10</v>
      </c>
      <c r="B21" s="66" t="s">
        <v>225</v>
      </c>
      <c r="C21" s="66" t="n">
        <v>69</v>
      </c>
      <c r="D21" s="66" t="n">
        <v>55</v>
      </c>
      <c r="E21" s="66" t="n">
        <f aca="false">E20+1</f>
        <v>19</v>
      </c>
      <c r="F21" s="66"/>
    </row>
    <row r="22" s="62" customFormat="true" ht="15.75" hidden="false" customHeight="false" outlineLevel="0" collapsed="false">
      <c r="A22" s="61" t="n">
        <v>10</v>
      </c>
      <c r="B22" s="61" t="s">
        <v>252</v>
      </c>
      <c r="C22" s="61" t="n">
        <v>32</v>
      </c>
      <c r="D22" s="61" t="n">
        <v>48</v>
      </c>
      <c r="E22" s="61" t="n">
        <f aca="false">E21+1</f>
        <v>20</v>
      </c>
      <c r="F22" s="61"/>
    </row>
    <row r="23" s="62" customFormat="true" ht="15.75" hidden="false" customHeight="false" outlineLevel="0" collapsed="false">
      <c r="A23" s="66" t="n">
        <f aca="false">A22+1</f>
        <v>11</v>
      </c>
      <c r="B23" s="66" t="s">
        <v>294</v>
      </c>
      <c r="C23" s="66" t="n">
        <v>52</v>
      </c>
      <c r="D23" s="66" t="n">
        <v>51</v>
      </c>
      <c r="E23" s="66" t="n">
        <f aca="false">E22+1</f>
        <v>21</v>
      </c>
      <c r="F23" s="66"/>
    </row>
    <row r="24" s="62" customFormat="true" ht="15.75" hidden="false" customHeight="false" outlineLevel="0" collapsed="false">
      <c r="A24" s="63" t="n">
        <v>11</v>
      </c>
      <c r="B24" s="63" t="s">
        <v>221</v>
      </c>
      <c r="C24" s="63" t="n">
        <v>38</v>
      </c>
      <c r="D24" s="63" t="n">
        <v>27</v>
      </c>
      <c r="E24" s="63" t="n">
        <f aca="false">E23+1</f>
        <v>22</v>
      </c>
      <c r="F24" s="63"/>
    </row>
    <row r="25" s="62" customFormat="true" ht="15.75" hidden="false" customHeight="false" outlineLevel="0" collapsed="false">
      <c r="A25" s="63" t="n">
        <v>12</v>
      </c>
      <c r="B25" s="63" t="s">
        <v>273</v>
      </c>
      <c r="C25" s="63" t="n">
        <v>78</v>
      </c>
      <c r="D25" s="63" t="n">
        <v>78</v>
      </c>
      <c r="E25" s="63" t="n">
        <f aca="false">E24+1</f>
        <v>23</v>
      </c>
      <c r="F25" s="63"/>
    </row>
    <row r="26" s="62" customFormat="true" ht="15.75" hidden="false" customHeight="false" outlineLevel="0" collapsed="false">
      <c r="A26" s="61" t="n">
        <v>13</v>
      </c>
      <c r="B26" s="61" t="s">
        <v>243</v>
      </c>
      <c r="C26" s="61" t="n">
        <v>42</v>
      </c>
      <c r="D26" s="61" t="n">
        <v>37</v>
      </c>
      <c r="E26" s="61" t="n">
        <f aca="false">E25+1</f>
        <v>24</v>
      </c>
      <c r="F26" s="61"/>
    </row>
    <row r="27" s="62" customFormat="true" ht="15.75" hidden="false" customHeight="false" outlineLevel="0" collapsed="false">
      <c r="A27" s="61" t="n">
        <f aca="false">A26+1</f>
        <v>14</v>
      </c>
      <c r="B27" s="61" t="s">
        <v>216</v>
      </c>
      <c r="C27" s="61" t="n">
        <v>29</v>
      </c>
      <c r="D27" s="61" t="n">
        <v>28</v>
      </c>
      <c r="E27" s="61" t="n">
        <f aca="false">E26+1</f>
        <v>25</v>
      </c>
      <c r="F27" s="61"/>
    </row>
    <row r="28" s="65" customFormat="true" ht="15.75" hidden="false" customHeight="false" outlineLevel="0" collapsed="false">
      <c r="A28" s="68" t="n">
        <v>15</v>
      </c>
      <c r="B28" s="68" t="s">
        <v>279</v>
      </c>
      <c r="C28" s="68" t="n">
        <v>2</v>
      </c>
      <c r="D28" s="68" t="n">
        <v>4</v>
      </c>
      <c r="E28" s="68" t="n">
        <f aca="false">E27+1</f>
        <v>26</v>
      </c>
      <c r="F28" s="68"/>
    </row>
    <row r="29" s="65" customFormat="true" ht="15.75" hidden="false" customHeight="false" outlineLevel="0" collapsed="false">
      <c r="A29" s="64" t="n">
        <f aca="false">A28+1</f>
        <v>16</v>
      </c>
      <c r="B29" s="64" t="s">
        <v>239</v>
      </c>
      <c r="C29" s="64" t="n">
        <v>22</v>
      </c>
      <c r="D29" s="64" t="n">
        <v>11</v>
      </c>
      <c r="E29" s="64" t="n">
        <f aca="false">E28+1</f>
        <v>27</v>
      </c>
      <c r="F29" s="64"/>
    </row>
    <row r="30" s="62" customFormat="true" ht="15.75" hidden="false" customHeight="false" outlineLevel="0" collapsed="false">
      <c r="A30" s="66" t="n">
        <f aca="false">A29+1</f>
        <v>17</v>
      </c>
      <c r="B30" s="66" t="s">
        <v>222</v>
      </c>
      <c r="C30" s="66" t="n">
        <v>54</v>
      </c>
      <c r="D30" s="66" t="n">
        <v>44</v>
      </c>
      <c r="E30" s="66" t="n">
        <f aca="false">E29+1</f>
        <v>28</v>
      </c>
      <c r="F30" s="66"/>
    </row>
    <row r="31" s="62" customFormat="true" ht="15.75" hidden="false" customHeight="false" outlineLevel="0" collapsed="false">
      <c r="A31" s="66" t="n">
        <f aca="false">A30+1</f>
        <v>18</v>
      </c>
      <c r="B31" s="66" t="s">
        <v>295</v>
      </c>
      <c r="C31" s="66" t="n">
        <v>39</v>
      </c>
      <c r="D31" s="66" t="n">
        <v>29</v>
      </c>
      <c r="E31" s="66" t="n">
        <f aca="false">E30+1</f>
        <v>29</v>
      </c>
      <c r="F31" s="66"/>
    </row>
    <row r="32" s="65" customFormat="true" ht="15.75" hidden="false" customHeight="false" outlineLevel="0" collapsed="false">
      <c r="A32" s="64" t="n">
        <f aca="false">A31+1</f>
        <v>19</v>
      </c>
      <c r="B32" s="64" t="s">
        <v>266</v>
      </c>
      <c r="C32" s="64" t="n">
        <v>3</v>
      </c>
      <c r="D32" s="64" t="n">
        <v>8</v>
      </c>
      <c r="E32" s="64" t="n">
        <f aca="false">E31+1</f>
        <v>30</v>
      </c>
      <c r="F32" s="64"/>
    </row>
    <row r="33" s="65" customFormat="true" ht="15.75" hidden="false" customHeight="false" outlineLevel="0" collapsed="false">
      <c r="A33" s="64" t="n">
        <f aca="false">A32+1</f>
        <v>20</v>
      </c>
      <c r="B33" s="64" t="s">
        <v>245</v>
      </c>
      <c r="C33" s="64" t="n">
        <v>23</v>
      </c>
      <c r="D33" s="64" t="n">
        <v>12</v>
      </c>
      <c r="E33" s="64" t="n">
        <f aca="false">E32+1</f>
        <v>31</v>
      </c>
      <c r="F33" s="64"/>
    </row>
    <row r="34" s="65" customFormat="true" ht="15.75" hidden="false" customHeight="false" outlineLevel="0" collapsed="false">
      <c r="A34" s="68" t="n">
        <v>16</v>
      </c>
      <c r="B34" s="68" t="s">
        <v>213</v>
      </c>
      <c r="C34" s="68" t="n">
        <v>9</v>
      </c>
      <c r="D34" s="68" t="n">
        <v>9</v>
      </c>
      <c r="E34" s="68" t="n">
        <f aca="false">E33+1</f>
        <v>32</v>
      </c>
      <c r="F34" s="68"/>
    </row>
    <row r="35" s="62" customFormat="true" ht="15.75" hidden="false" customHeight="false" outlineLevel="0" collapsed="false">
      <c r="A35" s="61" t="n">
        <v>17</v>
      </c>
      <c r="B35" s="61" t="s">
        <v>256</v>
      </c>
      <c r="C35" s="61" t="n">
        <v>31</v>
      </c>
      <c r="D35" s="61" t="n">
        <v>38</v>
      </c>
      <c r="E35" s="61" t="n">
        <f aca="false">E34+1</f>
        <v>33</v>
      </c>
      <c r="F35" s="61"/>
    </row>
    <row r="36" s="65" customFormat="true" ht="15.75" hidden="false" customHeight="false" outlineLevel="0" collapsed="false">
      <c r="A36" s="68" t="n">
        <v>18</v>
      </c>
      <c r="B36" s="68" t="s">
        <v>210</v>
      </c>
      <c r="C36" s="68" t="n">
        <v>8</v>
      </c>
      <c r="D36" s="68" t="n">
        <v>6</v>
      </c>
      <c r="E36" s="68" t="n">
        <f aca="false">E35+1</f>
        <v>34</v>
      </c>
      <c r="F36" s="68"/>
    </row>
    <row r="37" s="65" customFormat="true" ht="15.75" hidden="false" customHeight="false" outlineLevel="0" collapsed="false">
      <c r="A37" s="64" t="n">
        <f aca="false">A36+1</f>
        <v>19</v>
      </c>
      <c r="B37" s="64" t="s">
        <v>220</v>
      </c>
      <c r="C37" s="64" t="n">
        <v>28</v>
      </c>
      <c r="D37" s="64" t="n">
        <v>36</v>
      </c>
      <c r="E37" s="66" t="n">
        <f aca="false">E36+1</f>
        <v>35</v>
      </c>
      <c r="F37" s="66"/>
    </row>
    <row r="38" s="62" customFormat="true" ht="15.75" hidden="false" customHeight="false" outlineLevel="0" collapsed="false">
      <c r="A38" s="66" t="n">
        <v>19</v>
      </c>
      <c r="B38" s="66" t="s">
        <v>270</v>
      </c>
      <c r="C38" s="66" t="n">
        <v>59</v>
      </c>
      <c r="D38" s="66" t="n">
        <v>61</v>
      </c>
      <c r="E38" s="66" t="n">
        <f aca="false">E37+1</f>
        <v>36</v>
      </c>
      <c r="F38" s="66"/>
    </row>
    <row r="39" s="65" customFormat="true" ht="15.75" hidden="false" customHeight="false" outlineLevel="0" collapsed="false">
      <c r="A39" s="68" t="n">
        <v>20</v>
      </c>
      <c r="B39" s="68" t="s">
        <v>280</v>
      </c>
      <c r="C39" s="68" t="n">
        <v>10</v>
      </c>
      <c r="D39" s="68" t="n">
        <v>10</v>
      </c>
      <c r="E39" s="68" t="n">
        <f aca="false">E38+1</f>
        <v>37</v>
      </c>
      <c r="F39" s="68"/>
    </row>
    <row r="40" s="65" customFormat="true" ht="15.75" hidden="false" customHeight="false" outlineLevel="0" collapsed="false">
      <c r="A40" s="64" t="n">
        <f aca="false">A39+1</f>
        <v>21</v>
      </c>
      <c r="B40" s="64" t="s">
        <v>209</v>
      </c>
      <c r="C40" s="64" t="n">
        <v>22</v>
      </c>
      <c r="D40" s="64" t="n">
        <v>30</v>
      </c>
      <c r="E40" s="64" t="n">
        <f aca="false">E39+1</f>
        <v>38</v>
      </c>
      <c r="F40" s="64"/>
    </row>
    <row r="41" s="62" customFormat="true" ht="15.75" hidden="false" customHeight="false" outlineLevel="0" collapsed="false">
      <c r="A41" s="66" t="n">
        <v>21</v>
      </c>
      <c r="B41" s="66" t="s">
        <v>257</v>
      </c>
      <c r="C41" s="66" t="n">
        <v>70</v>
      </c>
      <c r="D41" s="66" t="n">
        <v>71</v>
      </c>
      <c r="E41" s="66" t="n">
        <f aca="false">E40+1</f>
        <v>39</v>
      </c>
      <c r="F41" s="66"/>
    </row>
    <row r="42" s="62" customFormat="true" ht="15.75" hidden="false" customHeight="false" outlineLevel="0" collapsed="false">
      <c r="A42" s="61" t="n">
        <f aca="false">A41+1</f>
        <v>22</v>
      </c>
      <c r="B42" s="61" t="s">
        <v>238</v>
      </c>
      <c r="C42" s="61" t="n">
        <v>67</v>
      </c>
      <c r="D42" s="61" t="n">
        <v>41</v>
      </c>
      <c r="E42" s="61" t="n">
        <f aca="false">E41+1</f>
        <v>40</v>
      </c>
      <c r="F42" s="61"/>
    </row>
    <row r="43" s="62" customFormat="true" ht="15.75" hidden="false" customHeight="false" outlineLevel="0" collapsed="false">
      <c r="A43" s="66" t="n">
        <f aca="false">A42+1</f>
        <v>23</v>
      </c>
      <c r="B43" s="66" t="s">
        <v>233</v>
      </c>
      <c r="C43" s="66" t="n">
        <v>49</v>
      </c>
      <c r="D43" s="66" t="n">
        <v>43</v>
      </c>
      <c r="E43" s="66" t="n">
        <f aca="false">E42+1</f>
        <v>41</v>
      </c>
      <c r="F43" s="66"/>
    </row>
    <row r="44" s="65" customFormat="true" ht="15.75" hidden="false" customHeight="false" outlineLevel="0" collapsed="false">
      <c r="A44" s="68" t="n">
        <v>23</v>
      </c>
      <c r="B44" s="68" t="s">
        <v>282</v>
      </c>
      <c r="C44" s="68" t="n">
        <v>18</v>
      </c>
      <c r="D44" s="68" t="n">
        <v>17</v>
      </c>
      <c r="E44" s="68" t="n">
        <f aca="false">E43+1</f>
        <v>42</v>
      </c>
      <c r="F44" s="68"/>
    </row>
    <row r="45" s="65" customFormat="true" ht="15.75" hidden="false" customHeight="false" outlineLevel="0" collapsed="false">
      <c r="A45" s="68" t="n">
        <v>24</v>
      </c>
      <c r="B45" s="68" t="s">
        <v>214</v>
      </c>
      <c r="C45" s="68" t="n">
        <v>21</v>
      </c>
      <c r="D45" s="68" t="n">
        <v>25</v>
      </c>
      <c r="E45" s="68" t="n">
        <f aca="false">E44+1</f>
        <v>43</v>
      </c>
      <c r="F45" s="68"/>
    </row>
    <row r="46" s="65" customFormat="true" ht="15.75" hidden="false" customHeight="false" outlineLevel="0" collapsed="false">
      <c r="A46" s="64" t="n">
        <f aca="false">A45+1</f>
        <v>25</v>
      </c>
      <c r="B46" s="64" t="s">
        <v>241</v>
      </c>
      <c r="C46" s="64" t="n">
        <v>33</v>
      </c>
      <c r="D46" s="64" t="n">
        <v>24</v>
      </c>
      <c r="E46" s="64" t="n">
        <f aca="false">E45+1</f>
        <v>44</v>
      </c>
      <c r="F46" s="64"/>
    </row>
    <row r="47" s="65" customFormat="true" ht="15.75" hidden="false" customHeight="false" outlineLevel="0" collapsed="false">
      <c r="A47" s="64" t="n">
        <f aca="false">A46+1</f>
        <v>26</v>
      </c>
      <c r="B47" s="64" t="s">
        <v>231</v>
      </c>
      <c r="C47" s="64" t="n">
        <v>43</v>
      </c>
      <c r="D47" s="64" t="n">
        <v>52</v>
      </c>
      <c r="E47" s="64" t="n">
        <f aca="false">E46+1</f>
        <v>45</v>
      </c>
      <c r="F47" s="64"/>
    </row>
    <row r="48" s="62" customFormat="true" ht="15.75" hidden="false" customHeight="false" outlineLevel="0" collapsed="false">
      <c r="A48" s="61" t="n">
        <v>25</v>
      </c>
      <c r="B48" s="61" t="s">
        <v>235</v>
      </c>
      <c r="C48" s="61" t="n">
        <v>47</v>
      </c>
      <c r="D48" s="61" t="n">
        <v>74</v>
      </c>
      <c r="E48" s="61" t="n">
        <f aca="false">E47+1</f>
        <v>46</v>
      </c>
      <c r="F48" s="61"/>
    </row>
    <row r="49" s="62" customFormat="true" ht="15.75" hidden="false" customHeight="false" outlineLevel="0" collapsed="false">
      <c r="A49" s="61" t="n">
        <v>26</v>
      </c>
      <c r="B49" s="61" t="s">
        <v>249</v>
      </c>
      <c r="C49" s="61" t="n">
        <v>48</v>
      </c>
      <c r="D49" s="61" t="n">
        <v>60</v>
      </c>
      <c r="E49" s="61" t="n">
        <f aca="false">E48+1</f>
        <v>47</v>
      </c>
      <c r="F49" s="61"/>
    </row>
    <row r="50" s="65" customFormat="true" ht="15.75" hidden="false" customHeight="false" outlineLevel="0" collapsed="false">
      <c r="A50" s="64" t="n">
        <f aca="false">A49+1</f>
        <v>27</v>
      </c>
      <c r="B50" s="64" t="s">
        <v>259</v>
      </c>
      <c r="C50" s="64" t="n">
        <v>56</v>
      </c>
      <c r="D50" s="64" t="n">
        <v>45</v>
      </c>
      <c r="E50" s="64" t="n">
        <f aca="false">E49+1</f>
        <v>48</v>
      </c>
      <c r="F50" s="64"/>
    </row>
    <row r="51" s="65" customFormat="true" ht="15.75" hidden="false" customHeight="false" outlineLevel="0" collapsed="false">
      <c r="A51" s="64" t="n">
        <f aca="false">A50+1</f>
        <v>28</v>
      </c>
      <c r="B51" s="64" t="s">
        <v>204</v>
      </c>
      <c r="C51" s="64" t="n">
        <v>41</v>
      </c>
      <c r="D51" s="64" t="n">
        <v>32</v>
      </c>
      <c r="E51" s="64" t="n">
        <f aca="false">E50+1</f>
        <v>49</v>
      </c>
      <c r="F51" s="64"/>
    </row>
    <row r="52" s="62" customFormat="true" ht="15.75" hidden="false" customHeight="false" outlineLevel="0" collapsed="false">
      <c r="A52" s="66" t="n">
        <f aca="false">A51+1</f>
        <v>29</v>
      </c>
      <c r="B52" s="66" t="s">
        <v>272</v>
      </c>
      <c r="C52" s="66" t="n">
        <v>53</v>
      </c>
      <c r="D52" s="66" t="n">
        <v>50</v>
      </c>
      <c r="E52" s="66" t="n">
        <f aca="false">E51+1</f>
        <v>50</v>
      </c>
      <c r="F52" s="66"/>
    </row>
    <row r="53" s="65" customFormat="true" ht="15.75" hidden="false" customHeight="false" outlineLevel="0" collapsed="false">
      <c r="A53" s="64" t="n">
        <f aca="false">A52+1</f>
        <v>30</v>
      </c>
      <c r="B53" s="64" t="s">
        <v>244</v>
      </c>
      <c r="C53" s="64" t="n">
        <v>11</v>
      </c>
      <c r="D53" s="64" t="n">
        <v>2</v>
      </c>
      <c r="E53" s="64" t="n">
        <f aca="false">E52+1</f>
        <v>51</v>
      </c>
      <c r="F53" s="64"/>
    </row>
    <row r="54" s="62" customFormat="true" ht="15.75" hidden="false" customHeight="false" outlineLevel="0" collapsed="false">
      <c r="A54" s="66" t="n">
        <f aca="false">A53+1</f>
        <v>31</v>
      </c>
      <c r="B54" s="66" t="s">
        <v>223</v>
      </c>
      <c r="C54" s="66" t="n">
        <v>66</v>
      </c>
      <c r="D54" s="66" t="n">
        <v>54</v>
      </c>
      <c r="E54" s="66" t="n">
        <f aca="false">E53+1</f>
        <v>52</v>
      </c>
      <c r="F54" s="66"/>
    </row>
    <row r="55" s="62" customFormat="true" ht="15.75" hidden="false" customHeight="false" outlineLevel="0" collapsed="false">
      <c r="A55" s="66" t="n">
        <f aca="false">A54+1</f>
        <v>32</v>
      </c>
      <c r="B55" s="66" t="s">
        <v>264</v>
      </c>
      <c r="C55" s="66" t="n">
        <v>73</v>
      </c>
      <c r="D55" s="66" t="n">
        <v>58</v>
      </c>
      <c r="E55" s="66" t="n">
        <f aca="false">E54+1</f>
        <v>53</v>
      </c>
      <c r="F55" s="66"/>
    </row>
    <row r="56" s="62" customFormat="true" ht="15.75" hidden="false" customHeight="false" outlineLevel="0" collapsed="false">
      <c r="A56" s="66" t="n">
        <f aca="false">A55+1</f>
        <v>33</v>
      </c>
      <c r="B56" s="66" t="s">
        <v>258</v>
      </c>
      <c r="C56" s="66" t="n">
        <v>64</v>
      </c>
      <c r="D56" s="66" t="n">
        <v>66</v>
      </c>
      <c r="E56" s="66" t="n">
        <f aca="false">E55+1</f>
        <v>54</v>
      </c>
      <c r="F56" s="66"/>
    </row>
    <row r="57" s="65" customFormat="true" ht="15.75" hidden="false" customHeight="false" outlineLevel="0" collapsed="false">
      <c r="A57" s="64" t="n">
        <f aca="false">A56+1</f>
        <v>34</v>
      </c>
      <c r="B57" s="64" t="s">
        <v>267</v>
      </c>
      <c r="C57" s="64" t="n">
        <v>35</v>
      </c>
      <c r="D57" s="64" t="n">
        <v>33</v>
      </c>
      <c r="E57" s="64" t="n">
        <f aca="false">E56+1</f>
        <v>55</v>
      </c>
      <c r="F57" s="64"/>
    </row>
    <row r="58" s="62" customFormat="true" ht="15.75" hidden="false" customHeight="false" outlineLevel="0" collapsed="false">
      <c r="A58" s="61" t="n">
        <v>27</v>
      </c>
      <c r="B58" s="61" t="s">
        <v>296</v>
      </c>
      <c r="C58" s="61" t="n">
        <v>80</v>
      </c>
      <c r="D58" s="61" t="n">
        <v>77</v>
      </c>
      <c r="E58" s="61" t="n">
        <f aca="false">E57+1</f>
        <v>56</v>
      </c>
      <c r="F58" s="61"/>
    </row>
    <row r="59" s="62" customFormat="true" ht="15.75" hidden="false" customHeight="false" outlineLevel="0" collapsed="false">
      <c r="A59" s="66" t="n">
        <f aca="false">A58+1</f>
        <v>28</v>
      </c>
      <c r="B59" s="66" t="s">
        <v>226</v>
      </c>
      <c r="C59" s="66" t="n">
        <v>81</v>
      </c>
      <c r="D59" s="66" t="n">
        <v>62</v>
      </c>
      <c r="E59" s="66" t="n">
        <f aca="false">E58+1</f>
        <v>57</v>
      </c>
      <c r="F59" s="66"/>
    </row>
    <row r="60" s="65" customFormat="true" ht="15.75" hidden="false" customHeight="false" outlineLevel="0" collapsed="false">
      <c r="A60" s="68" t="n">
        <v>28</v>
      </c>
      <c r="B60" s="68" t="s">
        <v>208</v>
      </c>
      <c r="C60" s="68" t="n">
        <v>36</v>
      </c>
      <c r="D60" s="68" t="n">
        <v>35</v>
      </c>
      <c r="E60" s="68" t="n">
        <f aca="false">E59+1</f>
        <v>58</v>
      </c>
      <c r="F60" s="68"/>
    </row>
    <row r="61" s="62" customFormat="true" ht="15.75" hidden="false" customHeight="false" outlineLevel="0" collapsed="false">
      <c r="A61" s="61" t="n">
        <v>29</v>
      </c>
      <c r="B61" s="61" t="s">
        <v>274</v>
      </c>
      <c r="C61" s="61" t="n">
        <v>72</v>
      </c>
      <c r="D61" s="61" t="n">
        <v>67</v>
      </c>
      <c r="E61" s="61" t="n">
        <f aca="false">E60+1</f>
        <v>59</v>
      </c>
      <c r="F61" s="61"/>
    </row>
    <row r="62" s="65" customFormat="true" ht="15.75" hidden="false" customHeight="false" outlineLevel="0" collapsed="false">
      <c r="A62" s="68" t="n">
        <v>30</v>
      </c>
      <c r="B62" s="68" t="s">
        <v>211</v>
      </c>
      <c r="C62" s="68" t="n">
        <v>55</v>
      </c>
      <c r="D62" s="68" t="n">
        <v>47</v>
      </c>
      <c r="E62" s="68" t="n">
        <f aca="false">E61+1</f>
        <v>60</v>
      </c>
      <c r="F62" s="68"/>
    </row>
    <row r="63" s="65" customFormat="true" ht="15.75" hidden="false" customHeight="false" outlineLevel="0" collapsed="false">
      <c r="A63" s="64" t="n">
        <f aca="false">A62+1</f>
        <v>31</v>
      </c>
      <c r="B63" s="64" t="s">
        <v>260</v>
      </c>
      <c r="C63" s="64" t="n">
        <v>51</v>
      </c>
      <c r="D63" s="64" t="n">
        <v>53</v>
      </c>
      <c r="E63" s="64" t="n">
        <f aca="false">E62+1</f>
        <v>61</v>
      </c>
      <c r="F63" s="64"/>
    </row>
    <row r="64" s="65" customFormat="true" ht="15.75" hidden="false" customHeight="false" outlineLevel="0" collapsed="false">
      <c r="A64" s="64" t="n">
        <f aca="false">A63+1</f>
        <v>32</v>
      </c>
      <c r="B64" s="64" t="s">
        <v>230</v>
      </c>
      <c r="C64" s="64" t="n">
        <v>74</v>
      </c>
      <c r="D64" s="64" t="n">
        <v>62</v>
      </c>
      <c r="E64" s="64" t="n">
        <f aca="false">E63+1</f>
        <v>62</v>
      </c>
      <c r="F64" s="64"/>
    </row>
    <row r="65" s="65" customFormat="true" ht="15.75" hidden="false" customHeight="false" outlineLevel="0" collapsed="false">
      <c r="A65" s="64" t="n">
        <f aca="false">A64+1</f>
        <v>33</v>
      </c>
      <c r="B65" s="64" t="s">
        <v>275</v>
      </c>
      <c r="C65" s="64" t="n">
        <v>79</v>
      </c>
      <c r="D65" s="64" t="n">
        <v>79</v>
      </c>
      <c r="E65" s="64" t="n">
        <f aca="false">E64+1</f>
        <v>63</v>
      </c>
      <c r="F65" s="64"/>
    </row>
    <row r="66" s="65" customFormat="true" ht="15.75" hidden="false" customHeight="false" outlineLevel="0" collapsed="false">
      <c r="A66" s="68" t="n">
        <v>31</v>
      </c>
      <c r="B66" s="68" t="s">
        <v>278</v>
      </c>
      <c r="C66" s="68" t="n">
        <v>21</v>
      </c>
      <c r="D66" s="68" t="n">
        <v>25</v>
      </c>
      <c r="E66" s="68" t="n">
        <f aca="false">E65+1</f>
        <v>64</v>
      </c>
      <c r="F66" s="68"/>
    </row>
    <row r="67" s="65" customFormat="true" ht="15.75" hidden="false" customHeight="false" outlineLevel="0" collapsed="false">
      <c r="A67" s="64" t="n">
        <v>32</v>
      </c>
      <c r="B67" s="64" t="s">
        <v>271</v>
      </c>
      <c r="C67" s="64" t="n">
        <v>45</v>
      </c>
      <c r="D67" s="64" t="n">
        <v>46</v>
      </c>
      <c r="E67" s="64" t="n">
        <f aca="false">E66+1</f>
        <v>65</v>
      </c>
      <c r="F67" s="64"/>
    </row>
    <row r="68" s="62" customFormat="true" ht="15.75" hidden="false" customHeight="false" outlineLevel="0" collapsed="false">
      <c r="A68" s="66" t="n">
        <f aca="false">A67+1</f>
        <v>33</v>
      </c>
      <c r="B68" s="66" t="s">
        <v>254</v>
      </c>
      <c r="C68" s="66" t="n">
        <v>75</v>
      </c>
      <c r="D68" s="66" t="n">
        <v>70</v>
      </c>
      <c r="E68" s="66" t="n">
        <f aca="false">E67+1</f>
        <v>66</v>
      </c>
      <c r="F68" s="66"/>
    </row>
    <row r="69" s="65" customFormat="true" ht="15.75" hidden="false" customHeight="false" outlineLevel="0" collapsed="false">
      <c r="A69" s="68" t="n">
        <v>33</v>
      </c>
      <c r="B69" s="68" t="s">
        <v>219</v>
      </c>
      <c r="C69" s="68" t="n">
        <v>61</v>
      </c>
      <c r="D69" s="68" t="n">
        <v>64</v>
      </c>
      <c r="E69" s="68" t="n">
        <f aca="false">E68+1</f>
        <v>67</v>
      </c>
      <c r="F69" s="68"/>
    </row>
    <row r="70" s="65" customFormat="true" ht="15.75" hidden="false" customHeight="false" outlineLevel="0" collapsed="false">
      <c r="A70" s="68" t="n">
        <v>34</v>
      </c>
      <c r="B70" s="68" t="s">
        <v>268</v>
      </c>
      <c r="C70" s="68" t="n">
        <v>46</v>
      </c>
      <c r="D70" s="68" t="n">
        <v>40</v>
      </c>
      <c r="E70" s="68" t="n">
        <f aca="false">E69+1</f>
        <v>68</v>
      </c>
      <c r="F70" s="68"/>
    </row>
    <row r="71" s="65" customFormat="true" ht="15.75" hidden="false" customHeight="false" outlineLevel="0" collapsed="false">
      <c r="A71" s="64" t="n">
        <f aca="false">A70+1</f>
        <v>35</v>
      </c>
      <c r="B71" s="64" t="s">
        <v>215</v>
      </c>
      <c r="C71" s="64" t="n">
        <v>37</v>
      </c>
      <c r="D71" s="64" t="n">
        <v>34</v>
      </c>
      <c r="E71" s="64" t="n">
        <f aca="false">E70+1</f>
        <v>69</v>
      </c>
      <c r="F71" s="64"/>
    </row>
    <row r="72" s="65" customFormat="true" ht="15.75" hidden="false" customHeight="false" outlineLevel="0" collapsed="false">
      <c r="A72" s="64" t="n">
        <f aca="false">A71+1</f>
        <v>36</v>
      </c>
      <c r="B72" s="64" t="s">
        <v>261</v>
      </c>
      <c r="C72" s="64" t="n">
        <v>63</v>
      </c>
      <c r="D72" s="64" t="n">
        <v>68</v>
      </c>
      <c r="E72" s="64" t="n">
        <f aca="false">E71+1</f>
        <v>70</v>
      </c>
      <c r="F72" s="64"/>
    </row>
    <row r="73" s="65" customFormat="true" ht="15.75" hidden="false" customHeight="false" outlineLevel="0" collapsed="false">
      <c r="A73" s="64" t="n">
        <f aca="false">A72+1</f>
        <v>37</v>
      </c>
      <c r="B73" s="64" t="s">
        <v>227</v>
      </c>
      <c r="C73" s="64" t="n">
        <v>72</v>
      </c>
      <c r="D73" s="64" t="n">
        <v>60</v>
      </c>
      <c r="E73" s="64" t="n">
        <f aca="false">E72+1</f>
        <v>71</v>
      </c>
      <c r="F73" s="64"/>
    </row>
    <row r="74" s="65" customFormat="true" ht="15.75" hidden="false" customHeight="false" outlineLevel="0" collapsed="false">
      <c r="A74" s="68" t="n">
        <v>35</v>
      </c>
      <c r="B74" s="68" t="s">
        <v>232</v>
      </c>
      <c r="C74" s="68" t="n">
        <v>57</v>
      </c>
      <c r="D74" s="68" t="n">
        <v>69</v>
      </c>
      <c r="E74" s="68" t="n">
        <f aca="false">E73+1</f>
        <v>72</v>
      </c>
      <c r="F74" s="68"/>
    </row>
    <row r="75" s="65" customFormat="true" ht="15.75" hidden="false" customHeight="false" outlineLevel="0" collapsed="false">
      <c r="A75" s="64" t="n">
        <f aca="false">A74+1</f>
        <v>36</v>
      </c>
      <c r="B75" s="64" t="s">
        <v>265</v>
      </c>
      <c r="C75" s="64" t="n">
        <v>50</v>
      </c>
      <c r="D75" s="64" t="n">
        <v>59</v>
      </c>
      <c r="E75" s="64" t="n">
        <f aca="false">E74+1</f>
        <v>73</v>
      </c>
      <c r="F75" s="64"/>
    </row>
    <row r="76" s="65" customFormat="true" ht="15.75" hidden="false" customHeight="false" outlineLevel="0" collapsed="false">
      <c r="A76" s="68" t="n">
        <v>36</v>
      </c>
      <c r="B76" s="68" t="s">
        <v>262</v>
      </c>
      <c r="C76" s="68" t="n">
        <v>76</v>
      </c>
      <c r="D76" s="68" t="n">
        <v>73</v>
      </c>
      <c r="E76" s="68" t="n">
        <f aca="false">E75+1</f>
        <v>74</v>
      </c>
      <c r="F76" s="68"/>
    </row>
    <row r="77" s="65" customFormat="true" ht="15.75" hidden="false" customHeight="false" outlineLevel="0" collapsed="false">
      <c r="A77" s="64" t="n">
        <f aca="false">A76+1</f>
        <v>37</v>
      </c>
      <c r="B77" s="64" t="s">
        <v>269</v>
      </c>
      <c r="C77" s="64" t="n">
        <v>65</v>
      </c>
      <c r="D77" s="64" t="n">
        <v>57</v>
      </c>
      <c r="E77" s="64" t="n">
        <f aca="false">E76+1</f>
        <v>75</v>
      </c>
      <c r="F77" s="64"/>
    </row>
    <row r="78" s="65" customFormat="true" ht="15.75" hidden="false" customHeight="false" outlineLevel="0" collapsed="false">
      <c r="A78" s="64" t="n">
        <f aca="false">A77+1</f>
        <v>38</v>
      </c>
      <c r="B78" s="64" t="s">
        <v>229</v>
      </c>
      <c r="C78" s="64" t="n">
        <v>81</v>
      </c>
      <c r="D78" s="64" t="n">
        <v>75</v>
      </c>
      <c r="E78" s="64" t="n">
        <f aca="false">E77+1</f>
        <v>76</v>
      </c>
      <c r="F78" s="64"/>
    </row>
    <row r="79" s="65" customFormat="true" ht="15.75" hidden="false" customHeight="false" outlineLevel="0" collapsed="false">
      <c r="A79" s="64" t="n">
        <f aca="false">A78+1</f>
        <v>39</v>
      </c>
      <c r="B79" s="64" t="s">
        <v>255</v>
      </c>
      <c r="C79" s="64" t="n">
        <v>40</v>
      </c>
      <c r="D79" s="64" t="n">
        <v>49</v>
      </c>
      <c r="E79" s="64" t="n">
        <f aca="false">E78+1</f>
        <v>77</v>
      </c>
      <c r="F79" s="64"/>
    </row>
    <row r="80" s="65" customFormat="true" ht="15.75" hidden="false" customHeight="false" outlineLevel="0" collapsed="false">
      <c r="A80" s="64" t="n">
        <f aca="false">A79+1</f>
        <v>40</v>
      </c>
      <c r="B80" s="64" t="s">
        <v>263</v>
      </c>
      <c r="C80" s="64" t="n">
        <v>58</v>
      </c>
      <c r="D80" s="64" t="n">
        <v>56</v>
      </c>
      <c r="E80" s="64" t="n">
        <f aca="false">E79+1</f>
        <v>78</v>
      </c>
      <c r="F80" s="64"/>
    </row>
    <row r="81" s="65" customFormat="true" ht="15.75" hidden="false" customHeight="false" outlineLevel="0" collapsed="false">
      <c r="A81" s="64" t="n">
        <f aca="false">A80+1</f>
        <v>41</v>
      </c>
      <c r="B81" s="64" t="s">
        <v>240</v>
      </c>
      <c r="C81" s="64" t="n">
        <v>65</v>
      </c>
      <c r="D81" s="64" t="n">
        <v>68</v>
      </c>
      <c r="E81" s="64" t="n">
        <f aca="false">E80+1</f>
        <v>79</v>
      </c>
      <c r="F81" s="64"/>
    </row>
    <row r="82" s="65" customFormat="true" ht="15.75" hidden="false" customHeight="false" outlineLevel="0" collapsed="false">
      <c r="A82" s="68" t="n">
        <f aca="false">A81+1</f>
        <v>42</v>
      </c>
      <c r="B82" s="68" t="s">
        <v>228</v>
      </c>
      <c r="C82" s="68" t="n">
        <v>71</v>
      </c>
      <c r="D82" s="68" t="n">
        <v>63</v>
      </c>
      <c r="E82" s="68" t="n">
        <f aca="false">E81+1</f>
        <v>80</v>
      </c>
      <c r="F82" s="68"/>
    </row>
    <row r="83" s="65" customFormat="true" ht="15.75" hidden="false" customHeight="false" outlineLevel="0" collapsed="false">
      <c r="A83" s="64" t="n">
        <f aca="false">A82+1</f>
        <v>43</v>
      </c>
      <c r="B83" s="64" t="s">
        <v>236</v>
      </c>
      <c r="C83" s="64" t="n">
        <v>77</v>
      </c>
      <c r="D83" s="64" t="n">
        <v>80</v>
      </c>
      <c r="E83" s="64" t="n">
        <f aca="false">E82+1</f>
        <v>81</v>
      </c>
      <c r="F83" s="64"/>
    </row>
  </sheetData>
  <autoFilter ref="B1:B83"/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1" width="54"/>
  </cols>
  <sheetData>
    <row r="1" customFormat="false" ht="16.75" hidden="false" customHeight="false" outlineLevel="0" collapsed="false">
      <c r="A1" s="69" t="s">
        <v>297</v>
      </c>
    </row>
    <row r="2" customFormat="false" ht="15.75" hidden="false" customHeight="false" outlineLevel="0" collapsed="false">
      <c r="A2" s="70"/>
    </row>
    <row r="3" customFormat="false" ht="33.75" hidden="false" customHeight="false" outlineLevel="0" collapsed="false">
      <c r="A3" s="71" t="s">
        <v>298</v>
      </c>
      <c r="B3" s="72" t="s">
        <v>299</v>
      </c>
      <c r="C3" s="72" t="s">
        <v>300</v>
      </c>
    </row>
    <row r="4" customFormat="false" ht="15.75" hidden="false" customHeight="false" outlineLevel="0" collapsed="false">
      <c r="A4" s="1" t="s">
        <v>221</v>
      </c>
      <c r="B4" s="1" t="n">
        <v>13</v>
      </c>
      <c r="C4" s="1" t="n">
        <v>69</v>
      </c>
    </row>
    <row r="5" customFormat="false" ht="15.75" hidden="false" customHeight="false" outlineLevel="0" collapsed="false">
      <c r="A5" s="1" t="s">
        <v>247</v>
      </c>
      <c r="B5" s="1" t="n">
        <v>7</v>
      </c>
      <c r="C5" s="1" t="n">
        <v>3</v>
      </c>
    </row>
    <row r="6" customFormat="false" ht="15.75" hidden="false" customHeight="false" outlineLevel="0" collapsed="false">
      <c r="A6" s="1" t="s">
        <v>277</v>
      </c>
      <c r="B6" s="1" t="n">
        <v>8</v>
      </c>
      <c r="C6" s="1" t="n">
        <v>20</v>
      </c>
    </row>
    <row r="7" customFormat="false" ht="15.75" hidden="false" customHeight="false" outlineLevel="0" collapsed="false">
      <c r="A7" s="1" t="s">
        <v>279</v>
      </c>
      <c r="B7" s="1" t="n">
        <v>15</v>
      </c>
      <c r="C7" s="1" t="n">
        <v>21</v>
      </c>
    </row>
    <row r="8" customFormat="false" ht="15.75" hidden="false" customHeight="false" outlineLevel="0" collapsed="false">
      <c r="A8" s="1" t="s">
        <v>284</v>
      </c>
      <c r="B8" s="1" t="n">
        <v>5</v>
      </c>
      <c r="C8" s="1" t="n">
        <v>10</v>
      </c>
    </row>
    <row r="9" customFormat="false" ht="15.75" hidden="false" customHeight="false" outlineLevel="0" collapsed="false">
      <c r="A9" s="1" t="s">
        <v>248</v>
      </c>
      <c r="B9" s="1" t="n">
        <v>12</v>
      </c>
      <c r="C9" s="1" t="n">
        <v>12</v>
      </c>
    </row>
    <row r="10" customFormat="false" ht="15.75" hidden="false" customHeight="false" outlineLevel="0" collapsed="false">
      <c r="A10" s="73" t="s">
        <v>256</v>
      </c>
      <c r="B10" s="73" t="n">
        <v>19</v>
      </c>
      <c r="C10" s="73" t="n">
        <v>9</v>
      </c>
    </row>
    <row r="11" customFormat="false" ht="15.75" hidden="false" customHeight="false" outlineLevel="0" collapsed="false">
      <c r="A11" s="1" t="s">
        <v>231</v>
      </c>
      <c r="B11" s="1" t="n">
        <v>25</v>
      </c>
      <c r="C11" s="1" t="n">
        <v>52</v>
      </c>
    </row>
    <row r="12" customFormat="false" ht="15.75" hidden="false" customHeight="false" outlineLevel="0" collapsed="false">
      <c r="A12" s="1" t="s">
        <v>266</v>
      </c>
      <c r="B12" s="1" t="n">
        <v>17</v>
      </c>
      <c r="C12" s="1" t="n">
        <v>54</v>
      </c>
    </row>
    <row r="13" customFormat="false" ht="15.75" hidden="false" customHeight="false" outlineLevel="0" collapsed="false">
      <c r="A13" s="1" t="s">
        <v>257</v>
      </c>
      <c r="B13" s="1" t="n">
        <v>21</v>
      </c>
      <c r="C13" s="1" t="n">
        <v>58</v>
      </c>
    </row>
    <row r="14" customFormat="false" ht="15.75" hidden="false" customHeight="false" outlineLevel="0" collapsed="false">
      <c r="A14" s="1" t="s">
        <v>233</v>
      </c>
      <c r="B14" s="1" t="n">
        <v>22</v>
      </c>
      <c r="C14" s="1" t="n">
        <v>70</v>
      </c>
    </row>
    <row r="15" customFormat="false" ht="15.75" hidden="false" customHeight="false" outlineLevel="0" collapsed="false">
      <c r="A15" s="1" t="s">
        <v>222</v>
      </c>
      <c r="B15" s="1" t="n">
        <v>16</v>
      </c>
      <c r="C15" s="1" t="n">
        <v>42</v>
      </c>
    </row>
    <row r="16" customFormat="false" ht="15.75" hidden="false" customHeight="false" outlineLevel="0" collapsed="false">
      <c r="A16" s="1" t="s">
        <v>164</v>
      </c>
      <c r="B16" s="1" t="n">
        <v>3</v>
      </c>
      <c r="C16" s="1" t="n">
        <v>6</v>
      </c>
    </row>
    <row r="17" customFormat="false" ht="15.75" hidden="false" customHeight="false" outlineLevel="0" collapsed="false">
      <c r="A17" s="1" t="s">
        <v>167</v>
      </c>
      <c r="B17" s="1" t="n">
        <v>2</v>
      </c>
      <c r="C17" s="1" t="n">
        <v>4</v>
      </c>
    </row>
    <row r="18" customFormat="false" ht="15.75" hidden="false" customHeight="false" outlineLevel="0" collapsed="false">
      <c r="A18" s="1" t="s">
        <v>214</v>
      </c>
      <c r="B18" s="1" t="n">
        <v>24</v>
      </c>
      <c r="C18" s="1" t="n">
        <v>43</v>
      </c>
    </row>
    <row r="19" customFormat="false" ht="15.75" hidden="false" customHeight="false" outlineLevel="0" collapsed="false">
      <c r="A19" s="1" t="s">
        <v>286</v>
      </c>
      <c r="B19" s="1" t="n">
        <v>4</v>
      </c>
      <c r="C19" s="1" t="n">
        <v>17</v>
      </c>
    </row>
    <row r="20" customFormat="false" ht="15.75" hidden="false" customHeight="false" outlineLevel="0" collapsed="false">
      <c r="A20" s="1" t="s">
        <v>280</v>
      </c>
      <c r="B20" s="1" t="n">
        <v>20</v>
      </c>
      <c r="C20" s="1" t="n">
        <v>38</v>
      </c>
    </row>
    <row r="21" customFormat="false" ht="15.75" hidden="false" customHeight="false" outlineLevel="0" collapsed="false">
      <c r="A21" s="1" t="s">
        <v>235</v>
      </c>
      <c r="B21" s="1" t="s">
        <v>301</v>
      </c>
      <c r="C21" s="1" t="n">
        <v>74</v>
      </c>
    </row>
    <row r="22" customFormat="false" ht="15.75" hidden="false" customHeight="false" outlineLevel="0" collapsed="false">
      <c r="A22" s="73" t="s">
        <v>251</v>
      </c>
      <c r="B22" s="73" t="n">
        <v>1</v>
      </c>
      <c r="C22" s="73" t="n">
        <v>5</v>
      </c>
    </row>
    <row r="23" customFormat="false" ht="15.75" hidden="false" customHeight="false" outlineLevel="0" collapsed="false">
      <c r="A23" s="1" t="s">
        <v>243</v>
      </c>
      <c r="B23" s="1" t="n">
        <v>14</v>
      </c>
      <c r="C23" s="1" t="n">
        <v>32</v>
      </c>
    </row>
    <row r="24" customFormat="false" ht="15.75" hidden="false" customHeight="false" outlineLevel="0" collapsed="false">
      <c r="A24" s="1" t="s">
        <v>225</v>
      </c>
      <c r="B24" s="1" t="n">
        <v>10</v>
      </c>
      <c r="C24" s="1" t="n">
        <v>34</v>
      </c>
    </row>
    <row r="25" customFormat="false" ht="15.75" hidden="false" customHeight="false" outlineLevel="0" collapsed="false">
      <c r="A25" s="1" t="s">
        <v>282</v>
      </c>
      <c r="B25" s="1" t="n">
        <v>23</v>
      </c>
      <c r="C25" s="1" t="n">
        <v>67</v>
      </c>
    </row>
    <row r="26" customFormat="false" ht="15.75" hidden="false" customHeight="false" outlineLevel="0" collapsed="false">
      <c r="B26" s="1" t="n">
        <v>9</v>
      </c>
      <c r="C26" s="1" t="n">
        <v>18</v>
      </c>
    </row>
    <row r="27" customFormat="false" ht="15.75" hidden="false" customHeight="false" outlineLevel="0" collapsed="false">
      <c r="A27" s="1" t="s">
        <v>245</v>
      </c>
      <c r="B27" s="1" t="n">
        <v>18</v>
      </c>
      <c r="C27" s="1" t="n">
        <v>33</v>
      </c>
    </row>
    <row r="28" customFormat="false" ht="15.75" hidden="false" customHeight="false" outlineLevel="0" collapsed="false">
      <c r="A28" s="1" t="s">
        <v>237</v>
      </c>
      <c r="B28" s="1" t="n">
        <v>6</v>
      </c>
      <c r="C28" s="1" t="n">
        <v>2</v>
      </c>
    </row>
    <row r="29" customFormat="false" ht="15.75" hidden="false" customHeight="false" outlineLevel="0" collapsed="false">
      <c r="A29" s="1" t="s">
        <v>252</v>
      </c>
      <c r="B29" s="1" t="n">
        <v>11</v>
      </c>
      <c r="C29" s="1" t="n">
        <v>44</v>
      </c>
    </row>
    <row r="31" customFormat="false" ht="15.75" hidden="false" customHeight="false" outlineLevel="0" collapsed="false">
      <c r="A31" s="70" t="s">
        <v>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2025-03-05T04:41:06Z</dcterms:created>
  <dc:creator>Turunctur, Buse (Data61, Black Mountain)</dc:creator>
  <dc:description/>
  <dc:language>en-GB</dc:language>
  <cp:lastModifiedBy/>
  <dcterms:modified xsi:type="dcterms:W3CDTF">2026-02-06T08:53:10Z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ActionId">
    <vt:lpwstr>9fa4c64c-e686-4898-9576-8934f7918cef</vt:lpwstr>
  </property>
  <property fmtid="{D5CDD505-2E9C-101B-9397-08002B2CF9AE}" pid="3" name="MSIP_Label_4f61d463-a7a2-4f89-972c-cb4d4e3c5dfc_ContentBits">
    <vt:lpwstr>3</vt:lpwstr>
  </property>
  <property fmtid="{D5CDD505-2E9C-101B-9397-08002B2CF9AE}" pid="4" name="MSIP_Label_4f61d463-a7a2-4f89-972c-cb4d4e3c5dfc_Enabled">
    <vt:lpwstr>true</vt:lpwstr>
  </property>
  <property fmtid="{D5CDD505-2E9C-101B-9397-08002B2CF9AE}" pid="5" name="MSIP_Label_4f61d463-a7a2-4f89-972c-cb4d4e3c5dfc_Method">
    <vt:lpwstr>Privileged</vt:lpwstr>
  </property>
  <property fmtid="{D5CDD505-2E9C-101B-9397-08002B2CF9AE}" pid="6" name="MSIP_Label_4f61d463-a7a2-4f89-972c-cb4d4e3c5dfc_Name">
    <vt:lpwstr>UNOFFICIAL</vt:lpwstr>
  </property>
  <property fmtid="{D5CDD505-2E9C-101B-9397-08002B2CF9AE}" pid="7" name="MSIP_Label_4f61d463-a7a2-4f89-972c-cb4d4e3c5dfc_SetDate">
    <vt:lpwstr>2026-02-02T06:21:51Z</vt:lpwstr>
  </property>
  <property fmtid="{D5CDD505-2E9C-101B-9397-08002B2CF9AE}" pid="8" name="MSIP_Label_4f61d463-a7a2-4f89-972c-cb4d4e3c5dfc_SiteId">
    <vt:lpwstr>0fe05593-19ac-4f98-adbf-0375fce7f160</vt:lpwstr>
  </property>
  <property fmtid="{D5CDD505-2E9C-101B-9397-08002B2CF9AE}" pid="9" name="MSIP_Label_4f61d463-a7a2-4f89-972c-cb4d4e3c5dfc_Tag">
    <vt:lpwstr>50, 0, 1, 1</vt:lpwstr>
  </property>
</Properties>
</file>